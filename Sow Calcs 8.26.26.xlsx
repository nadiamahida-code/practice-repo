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Global Assumptions" sheetId="2" r:id="rId6"/>
    <sheet state="visible" name="Support" sheetId="3" r:id="rId7"/>
    <sheet state="visible" name="DC" sheetId="4" r:id="rId8"/>
    <sheet state="visible" name="Multi Brand" sheetId="5" r:id="rId9"/>
    <sheet state="visible" name="Custom HC" sheetId="6" r:id="rId10"/>
    <sheet state="visible" name="Voice" sheetId="7" r:id="rId11"/>
    <sheet state="visible" name="OOB Messaging" sheetId="8" r:id="rId12"/>
    <sheet state="visible" name="AI Copilot" sheetId="9" r:id="rId13"/>
    <sheet state="visible" name="AIAA" sheetId="10" r:id="rId14"/>
    <sheet state="visible" name="QA" sheetId="11" r:id="rId15"/>
    <sheet state="visible" name="WFM" sheetId="12" r:id="rId16"/>
    <sheet state="visible" name="Adv Data Privacy" sheetId="13" r:id="rId17"/>
    <sheet state="visible" name="custom objects" sheetId="14" r:id="rId18"/>
    <sheet state="visible" name="Migration" sheetId="15" r:id="rId19"/>
    <sheet state="visible" name="Custom App" sheetId="16" r:id="rId20"/>
    <sheet state="visible" name="Analytics" sheetId="17" r:id="rId21"/>
    <sheet state="visible" name="Public Slack" sheetId="18" r:id="rId22"/>
  </sheets>
  <definedNames/>
  <calcPr/>
</workbook>
</file>

<file path=xl/sharedStrings.xml><?xml version="1.0" encoding="utf-8"?>
<sst xmlns="http://schemas.openxmlformats.org/spreadsheetml/2006/main" count="954" uniqueCount="583">
  <si>
    <t>SOW Effort-Scoping Calculators — Index</t>
  </si>
  <si>
    <t>Dynamic Content Calculator</t>
  </si>
  <si>
    <t>Support Implementation Calculator</t>
  </si>
  <si>
    <t>Global Assumptions &amp; Rules</t>
  </si>
  <si>
    <t>One calculator per product line, all in the same Assumptions → Calculator → Result format. Start with Global Assumptions to set the shared rate, PM %, and timeline multipliers used across every tab below.</t>
  </si>
  <si>
    <t>WHAT'S INCLUDED: Localization/translation setup for dynamic content items (macros, triggers, articles, etc.) across one or more languages. Effort tiers cascade: Mid = Low base × 1.5, High = Mid × 1.25 — reflecting the real structure of the original rate card.</t>
  </si>
  <si>
    <t>Tab</t>
  </si>
  <si>
    <t>MEETING CADENCE  (informational — already reflected in the effort hours below; not additive)</t>
  </si>
  <si>
    <t>What's included</t>
  </si>
  <si>
    <t>Go to</t>
  </si>
  <si>
    <t>Shared defaults referenced by every product tab in this workbook. Tabs marked with a green link cell pull their rate directly from here; tabs with their own established rate (custom objects, Migration, Custom App) keep a local rate since those were deliberately set at different levels. Edit values here to update every linked tab at once.</t>
  </si>
  <si>
    <t>GLOBAL</t>
  </si>
  <si>
    <t>WHAT'S INCLUDED: Core Zendesk Support setup — discovery by agent-group tier, business-rule (trigger/automation) build scaled by count, optional Guide OOB knowledge base setup, and action-flow add-ons. Groups beyond the first 3 add discovery and configuration effort (see below). Email and forms are the channels covered here; see the Voice and OOB Messaging tabs for those channels.</t>
  </si>
  <si>
    <t>Global Assumptions</t>
  </si>
  <si>
    <t>• If this engagement is standalone (not bundled with a Support package): +30-min kickoff, +30-min design sign-off (see Global Assumptions).</t>
  </si>
  <si>
    <t>SHARED DEFAULTS</t>
  </si>
  <si>
    <t>Shared blended rate, standard 35% PM rule, short-timeline multipliers, and process reminders referenced by every tab below.</t>
  </si>
  <si>
    <t>Open tab →</t>
  </si>
  <si>
    <t>SECTION 1 — ASSUMPTIONS  (gray = calibrated reference values, not meant to be edited)</t>
  </si>
  <si>
    <t>Assumption</t>
  </si>
  <si>
    <t>Value</t>
  </si>
  <si>
    <t>Notes / Source</t>
  </si>
  <si>
    <t>• Up to 3 discovery sessions (Standard tier) / up to 6 (Higher tier), plus up to 2 additional discovery sessions per group beyond 3, per the Discovery hours below.</t>
  </si>
  <si>
    <t>Default blended hourly rate ($)</t>
  </si>
  <si>
    <t>Blended hourly rate ($)</t>
  </si>
  <si>
    <t>• Up to 1 collaboration meeting for Knowledge/Help Center (Guide).</t>
  </si>
  <si>
    <t>Reference rate for any tab that doesn't already have its own established rate. Roughly the midpoint of the three existing calculators' rates ($258 custom objects / $235 Migration / $253 Custom App).</t>
  </si>
  <si>
    <t>Standard PM % of project hours</t>
  </si>
  <si>
    <t>• Up to 1 UAT meeting.</t>
  </si>
  <si>
    <t>CORE IMPLEMENTATION</t>
  </si>
  <si>
    <t>From the original Notes tab: "35% for PM." Applied to total project hours on every tab unless that tab documents an explicit exception (see that tab's Assumptions section).</t>
  </si>
  <si>
    <t>Support</t>
  </si>
  <si>
    <t>SHORT-TIMELINE MULTIPLIER (select the delivery timeline on each tab's Result section)</t>
  </si>
  <si>
    <t>Zendesk Support setup — discovery by agent-group tier, business-rule build scaled by count, Guide OOB, action-flow add-ons.</t>
  </si>
  <si>
    <t>• Up to 1 UAT feedback meeting.</t>
  </si>
  <si>
    <t>DC</t>
  </si>
  <si>
    <t>Dynamic Content / localization setup, scaled by # of custom items and # of languages (cascading Low/Mid/High tiers).</t>
  </si>
  <si>
    <t>Multi Brand</t>
  </si>
  <si>
    <t>Multiplier — Standard (7+ weeks)</t>
  </si>
  <si>
    <t>Configuring additional brands within a single Zendesk instance.</t>
  </si>
  <si>
    <t>Baseline, no compression.</t>
  </si>
  <si>
    <t>Linked to Global Assumptions default rate.</t>
  </si>
  <si>
    <t>Multiplier — 5-7 weeks</t>
  </si>
  <si>
    <t>Custom HC</t>
  </si>
  <si>
    <t>• Up to 1 go-live checklist review meeting.</t>
  </si>
  <si>
    <t>From the original Notes tab.</t>
  </si>
  <si>
    <t>⚠ PLACEHOLDER — Custom Help Center theming/branding, structure, and legacy content migration. No benchmark SOW available yet.</t>
  </si>
  <si>
    <t>TIER THRESHOLDS (by # of custom items)</t>
  </si>
  <si>
    <t>Multiplier — 3-4 weeks</t>
  </si>
  <si>
    <t>CHANNELS</t>
  </si>
  <si>
    <t>Multiplier — &lt;3 weeks</t>
  </si>
  <si>
    <t>From the original Notes tab. Note: will also likely require multiple resources — a timeline this compressed may need a staffing conversation, not just a rate adjustment.</t>
  </si>
  <si>
    <t>Voice</t>
  </si>
  <si>
    <t>• Up to 1×30-min kickoff (KO).</t>
  </si>
  <si>
    <t>Zendesk Talk OOB setup — phone numbers, IVR build by complexity, training/testing. No PM applied.</t>
  </si>
  <si>
    <t>Standalone engagement — KO (0.5h) + design sign-off (0.5h) flat hrs</t>
  </si>
  <si>
    <t>Reference only — informational. Applies when a product engagement is sold on its own, not bundled into a Support package: a 30-min kickoff plus a 30-min design sign-off session. Each product tab notes this in its Meeting Cadence section; it is not automatically added to any tab's hours.</t>
  </si>
  <si>
    <t>OOB Messaging</t>
  </si>
  <si>
    <t>Messaging widget setup (web + other channels like WhatsApp/FB) per brand, plus optional TA guidance.</t>
  </si>
  <si>
    <t>PROCESS REMINDERS (apply when assembling the actual SOW document)</t>
  </si>
  <si>
    <t>Low tier — up to # items</t>
  </si>
  <si>
    <t>AI &amp; AUTOMATION</t>
  </si>
  <si>
    <t>From the original DC rate card.</t>
  </si>
  <si>
    <t>Mid tier — up to # items</t>
  </si>
  <si>
    <t>AI Copilot</t>
  </si>
  <si>
    <t>Two tiers: turning on Copilot features only, or the fuller tier with procedures/config. No PM on the enable-only tier.</t>
  </si>
  <si>
    <t>• Update the SOW whenever an expected item is not included in scope — don't let an exclusion go unstated.</t>
  </si>
  <si>
    <t>High tier — up to # items</t>
  </si>
  <si>
    <t>From the original DC rate card. Beyond this, treat as fully custom scoping.</t>
  </si>
  <si>
    <t>AIAA</t>
  </si>
  <si>
    <t>• The signer needs to initial on any items that are explicitly called out as included, per client sign-off practice.</t>
  </si>
  <si>
    <t>AI Agents/Advanced Automation — source connection, up to 3 use cases, included API connections, support routing, TA guidance. PM only above 40 hrs.</t>
  </si>
  <si>
    <t>BASE HOURS (Low tier)</t>
  </si>
  <si>
    <t>• "Update weeks of performance" — confirm the period-of-performance language reflects the actual timeline used for the short-timeline multiplier above.</t>
  </si>
  <si>
    <t>QUALITY &amp; WORKFORCE</t>
  </si>
  <si>
    <t>PER-TAB PM EXCEPTIONS (documented overrides to the 35% standard)</t>
  </si>
  <si>
    <t>Low tier base hrs — under 5 languages</t>
  </si>
  <si>
    <t>QA</t>
  </si>
  <si>
    <t>Scorecards, workspaces, AutoQA, Spotlight, calibration/coaching methodology, dashboards, config. No PM applied.</t>
  </si>
  <si>
    <t>Low tier base hrs — 5+ languages</t>
  </si>
  <si>
    <t>Exception</t>
  </si>
  <si>
    <t>WFM</t>
  </si>
  <si>
    <t>Workforce Management setup — discovery, config, UAT/training, hypercare, up to 4 workstreams included.</t>
  </si>
  <si>
    <t>CASCADING MULTIPLIERS</t>
  </si>
  <si>
    <t>DATA, SECURITY &amp; CUSTOM DEVELOPMENT</t>
  </si>
  <si>
    <t>Mid tier multiplier (applied to Low base)</t>
  </si>
  <si>
    <t>Mid = Low base × this multiplier (10×1.5=15; 20×1.5=30 — matches the original rate card exactly).</t>
  </si>
  <si>
    <t>Adv Data Privacy</t>
  </si>
  <si>
    <t>High tier multiplier (applied to Mid base)</t>
  </si>
  <si>
    <t>Advanced encryption/BYOK — quick Feature Review, or the full 6-phase KMS implementation.</t>
  </si>
  <si>
    <t>High = Mid base × this multiplier (15×1.25=18.75; 30×1.25=37.5 — matches the original rate card exactly).</t>
  </si>
  <si>
    <t>custom objects</t>
  </si>
  <si>
    <t>Zendesk Custom Object scope — data model design, build, object-facing UI, migration into objects.</t>
  </si>
  <si>
    <t>SECTION 2 — CALCULATOR  (add one row per scope; only edit columns A—C)</t>
  </si>
  <si>
    <t>No PM needed for this part.</t>
  </si>
  <si>
    <t>Migration</t>
  </si>
  <si>
    <t>Ticket/user/org/attachment data migration into Zendesk — mapping, volume, attachments, open-ticket delta handling.</t>
  </si>
  <si>
    <t>Custom App</t>
  </si>
  <si>
    <t>Custom Zendesk apps/integrations — sidebar apps, ticket-sidebar widgets, backend integrations (e.g. Envoy Connect).</t>
  </si>
  <si>
    <t>No PM needed if standalone and under 40 total hours; projects over 40 hours should include a PM.</t>
  </si>
  <si>
    <t>Row below marked EXAMPLE is a sample entry — overwrite it. Columns D onward calculate automatically.</t>
  </si>
  <si>
    <t>ANALYTICS &amp; ADD-ONS</t>
  </si>
  <si>
    <t>No PM needed for the "turning on features only" tier.</t>
  </si>
  <si>
    <t>DISCOVERY (per agent-group tier)</t>
  </si>
  <si>
    <t>Analytics</t>
  </si>
  <si>
    <t>Explore reporting setup — baseline dashboard/reports/metrics allowance, additional units, optional training session.</t>
  </si>
  <si>
    <t>Public Slack</t>
  </si>
  <si>
    <t>8% modifier on a project's PM + Consultant time for projects that include public Slack channel support.</t>
  </si>
  <si>
    <t>Scope Name</t>
  </si>
  <si>
    <t># Custom
Items</t>
  </si>
  <si>
    <t># Languages</t>
  </si>
  <si>
    <t>Tier
(computed)</t>
  </si>
  <si>
    <t>Base Hrs
(Low)</t>
  </si>
  <si>
    <t>Discovery hrs — Standard tier (up to 3 discovery sessions, 12 agent teams, 2 agents)</t>
  </si>
  <si>
    <t>Tier
Hrs</t>
  </si>
  <si>
    <t>—</t>
  </si>
  <si>
    <t>Total
Hrs</t>
  </si>
  <si>
    <t>Total
Cost ($)</t>
  </si>
  <si>
    <t>From the original Support rate card.</t>
  </si>
  <si>
    <t>Macro Translation (EXAMPLE — overwrite)</t>
  </si>
  <si>
    <t>Discovery hrs — Higher tier (up to 6 discovery sessions, 22 agent teams, 2 agents)</t>
  </si>
  <si>
    <t>GROUPS BEYOND 3 (additional discovery + configuration effort)</t>
  </si>
  <si>
    <t># groups included before additional effort kicks in</t>
  </si>
  <si>
    <t>New.</t>
  </si>
  <si>
    <t>Additional discovery hrs per group beyond 3 (up to 2 meetings)</t>
  </si>
  <si>
    <t>Additional configuration/business-rule hrs per group beyond 3</t>
  </si>
  <si>
    <t>BUSINESS RULES (triggers/automations — tiered by count, includes build/testing/hypercare)</t>
  </si>
  <si>
    <t>Hrs — up to 25 business rules</t>
  </si>
  <si>
    <t>≈0.6 hrs/rule.</t>
  </si>
  <si>
    <t>Hrs — up to 55 business rules*</t>
  </si>
  <si>
    <t>*Includes two action flows. ≈0.36 hrs/rule.</t>
  </si>
  <si>
    <t>Hrs — up to 85 business rules*</t>
  </si>
  <si>
    <t>*Includes two action flows. ≈0.35 hrs/rule.</t>
  </si>
  <si>
    <t>Hrs — up to 100 business rules (custom)</t>
  </si>
  <si>
    <t>Beyond 100, treat as fully custom scoping.</t>
  </si>
  <si>
    <t>GUIDE / KNOWLEDGE BASE (out-of-the-box)</t>
  </si>
  <si>
    <t>Guide OOB setup — flat hrs</t>
  </si>
  <si>
    <t>Includes new features like Knowledge builder.</t>
  </si>
  <si>
    <t>ADD-ONS</t>
  </si>
  <si>
    <t>Additional action flow — hrs each</t>
  </si>
  <si>
    <t>Beyond what's included in the Business Rules tier above.</t>
  </si>
  <si>
    <t>SECTION 2 — CALCULATOR  (add one row per scope; only edit columns A—F)</t>
  </si>
  <si>
    <t>Row below marked EXAMPLE is a sample entry — overwrite it. Columns G onward calculate automatically.</t>
  </si>
  <si>
    <t>Discovery
Tier</t>
  </si>
  <si>
    <t># Groups</t>
  </si>
  <si>
    <t># Business
Rules</t>
  </si>
  <si>
    <t>Include Guide
OOB? (Y/N)</t>
  </si>
  <si>
    <t># Additional
Action Flows</t>
  </si>
  <si>
    <t>Discovery
Hrs</t>
  </si>
  <si>
    <t>Business
Rules Hrs</t>
  </si>
  <si>
    <t>Guide
Hrs</t>
  </si>
  <si>
    <t>Add-on
Hrs</t>
  </si>
  <si>
    <t>Support Implementation (EXAMPLE — overwrite)</t>
  </si>
  <si>
    <t>Standard</t>
  </si>
  <si>
    <t>Y</t>
  </si>
  <si>
    <t>Multi-Brand Calculator</t>
  </si>
  <si>
    <t>WHAT'S INCLUDED: Configuring additional brands within a single Zendesk instance. Flat allowance covers up to 3 brands; each brand beyond that is a flat add.</t>
  </si>
  <si>
    <t>• Up to 1hr additional discovery session.</t>
  </si>
  <si>
    <t>Custom Help Center Calculator  ⚠ PARTIAL PLACEHOLDER</t>
  </si>
  <si>
    <t>TOTAL</t>
  </si>
  <si>
    <t>Flat hrs — included, up to 3 brands</t>
  </si>
  <si>
    <t>From the original Multi Brand rate card.</t>
  </si>
  <si>
    <t># brands included in the flat allowance</t>
  </si>
  <si>
    <t>Hrs per additional brand (beyond the included allowance)</t>
  </si>
  <si>
    <t>WHAT'S INCLUDED: Custom-themed Help Center (Guide) design/build beyond the out-of-the-box setup already covered on the Support tab — Design and Build/Development are scoped as separate line items, plus category/section structure and legacy content migration. ⚠ Reviewed past Guide SOWs (Everlink SOW 004, the Zimperium proposal, Zendesk Inc./GoFundMe/Gameday Men's Health) for a Design-vs-Build hour split — none itemize hours by phase; they're either fixed-fee totals or phase/round counts without hours. Everlink SOW 004's Guide build was a $6,740 fixed fee (≈27 hrs at $253/hr blended) for a smaller-scope "Guide Updates" engagement — notably less than the 45 hrs (15 Design + 30 Build) below, though scope wasn't identical. Treat the 15/30 split as directional until a matching real SOW is available.</t>
  </si>
  <si>
    <t>SECTION 2 — CALCULATOR  (add one row per scope; only edit columns A—B)</t>
  </si>
  <si>
    <t>Row below marked EXAMPLE is a sample entry — overwrite it. Columns C onward calculate automatically.</t>
  </si>
  <si>
    <t>• Up to 2×1hr discovery sessions reviewing an existing Figma file (real benchmark: Zendesk Inc. SOW 002, GoFundMe SOW 006).</t>
  </si>
  <si>
    <t># Total
Brands</t>
  </si>
  <si>
    <t>Additional
Brands</t>
  </si>
  <si>
    <t>SECTION 3 — RESULT</t>
  </si>
  <si>
    <t>Multi-Brand Setup (EXAMPLE — overwrite)</t>
  </si>
  <si>
    <t>• Up to 2 rounds of revisions each on Home/Article pages and interior pages, plus a mobile landing/article page.</t>
  </si>
  <si>
    <t>Total hours (pre-PM)</t>
  </si>
  <si>
    <t>PM hours</t>
  </si>
  <si>
    <t>SECTION 1 — ASSUMPTIONS  (gray = calibrated reference values, not meant to be edited — PLACEHOLDER VALUES)</t>
  </si>
  <si>
    <t>Project timeline (select)</t>
  </si>
  <si>
    <t>Standard (7+ weeks)</t>
  </si>
  <si>
    <t>Final hours (incl. PM + timeline multiplier)</t>
  </si>
  <si>
    <t>DESIGN</t>
  </si>
  <si>
    <t>Final cost ($)</t>
  </si>
  <si>
    <t>Design — flat hrs</t>
  </si>
  <si>
    <t>PLACEHOLDER — see title note above; no matching past-SOW hour breakdown found. Figma design work, distinct from front-end build.</t>
  </si>
  <si>
    <t>BUILD / DEVELOPMENT</t>
  </si>
  <si>
    <t>Build/Development — flat hrs</t>
  </si>
  <si>
    <t>Sources reviewed: original Sow Collab "DC" tab (cascading Low/Mid/High tier multipliers by item count and language count).</t>
  </si>
  <si>
    <t>PLACEHOLDER — see title note above. HTML/CSS front-end development of the approved design.</t>
  </si>
  <si>
    <t>STRUCTURE</t>
  </si>
  <si>
    <t>Hrs per category/section</t>
  </si>
  <si>
    <t>PLACEHOLDER — no source SOW. Estimate only.</t>
  </si>
  <si>
    <t>CONTENT MIGRATION</t>
  </si>
  <si>
    <t>Hrs per 50 legacy articles migrated</t>
  </si>
  <si>
    <t>MULTI-BRAND HELP CENTER</t>
  </si>
  <si>
    <t>Additional hrs per brand (beyond first)</t>
  </si>
  <si>
    <t>PLACEHOLDER — no source SOW; set equal to the Multi Brand tab's per-brand rate as a starting point.</t>
  </si>
  <si>
    <t>SECTION 2 — CALCULATOR  (add one row per scope; only edit columns A—D)</t>
  </si>
  <si>
    <t>Row below marked EXAMPLE is a sample entry — overwrite it. Columns E onward calculate automatically.</t>
  </si>
  <si>
    <t># Categories/
Sections</t>
  </si>
  <si>
    <t># Legacy Articles
to Migrate</t>
  </si>
  <si>
    <t># Brands</t>
  </si>
  <si>
    <t>Design
Hrs</t>
  </si>
  <si>
    <t>Build
Hrs</t>
  </si>
  <si>
    <t>Structure
Hrs</t>
  </si>
  <si>
    <t>Migration
Hrs</t>
  </si>
  <si>
    <t>Custom Help Center Build (EXAMPLE — overwrite)</t>
  </si>
  <si>
    <t>Sources reviewed: original Sow Collab "Multi Brand" tab.</t>
  </si>
  <si>
    <t>Sources reviewed: original Sow Collab "Support" tab (discovery-by-tier, business-rule tiers, Guide OOB, action-flow add-ons).</t>
  </si>
  <si>
    <t>Voice (OOB) Calculator</t>
  </si>
  <si>
    <t>WHAT'S INCLUDED: Out-of-the-box Zendesk Talk setup — discovery, phone number configuration, IVR build (scaled by complexity), and training/documentation/testing. Greetings are not recorded as part of this scope. No PM is applied on this tab per the original rate card note.</t>
  </si>
  <si>
    <t>• Up to 1×30-min discovery/setup session per phone line.</t>
  </si>
  <si>
    <t>• Up to 1×1hr admin training session if this engagement is not bundled with a Support package.</t>
  </si>
  <si>
    <t>Discovery — flat hrs</t>
  </si>
  <si>
    <t>From the original Voice rate card. This is Envoy's effort for the discovery phase — see the meeting cadence note above for how that time is spent.</t>
  </si>
  <si>
    <t>Hrs per phone number configured</t>
  </si>
  <si>
    <t>From the original Voice rate card.</t>
  </si>
  <si>
    <t>Hrs per IVR — Normal complexity</t>
  </si>
  <si>
    <t>Sources reviewed: ⚠ Design/Build split still uses placeholder hours — reviewed Everlink SOW 004, Zimperium proposal, Zendesk Inc./GoFundMe/Gameday Men's Health, none give a phase-level hour breakdown. Update from a real hour-itemized Custom Help Center SOW as soon as one is available.</t>
  </si>
  <si>
    <t>OOB Messaging Calculator</t>
  </si>
  <si>
    <t>Hrs per IVR — High complexity</t>
  </si>
  <si>
    <t>Training / documentation / testing — flat hrs</t>
  </si>
  <si>
    <t>From the original Voice rate card. This is Envoy's effort for training/doc/testing — see the meeting cadence note above for how that time is spent.</t>
  </si>
  <si>
    <t>WHAT'S INCLUDED: Out-of-the-box messaging widget setup (web messaging widget, plus other channel widgets like WhatsApp/Facebook), per brand. Does not include AIAA (bot) setup — see the AIAA tab for that.</t>
  </si>
  <si>
    <t>Row below marked EXAMPLE is a sample entry — overwrite it. Columns E onward calculate automatically. No PM row on this tab — per the original rate card, no PM is needed for Voice OOB setup.</t>
  </si>
  <si>
    <t>• Up to 1×1hr session per widget (messaging + other channel combined).</t>
  </si>
  <si>
    <t># Phone
Numbers</t>
  </si>
  <si>
    <t># IVRs</t>
  </si>
  <si>
    <t>IVR
Complexity</t>
  </si>
  <si>
    <t>Config
Hrs</t>
  </si>
  <si>
    <t>IVR
Hrs</t>
  </si>
  <si>
    <t>Training
Hrs</t>
  </si>
  <si>
    <t>Voice OOB Setup (EXAMPLE — overwrite)</t>
  </si>
  <si>
    <t>Normal</t>
  </si>
  <si>
    <t>Messaging widget — flat hrs (first widget, per brand)</t>
  </si>
  <si>
    <t>From the original OOB Messaging rate card.</t>
  </si>
  <si>
    <t>Messaging widget — additional hrs (each beyond the first, per brand)</t>
  </si>
  <si>
    <t>Other channel widget (WhatsApp/FB, etc.) — flat hrs (first widget, per brand)</t>
  </si>
  <si>
    <t>Other channel widget — additional hrs (each beyond the first, per brand)</t>
  </si>
  <si>
    <t>TA guidance add-on — flat hrs</t>
  </si>
  <si>
    <t>From the original OOB Messaging rate card ("requires a TA: 10 hours").</t>
  </si>
  <si>
    <t># Messaging
Widgets</t>
  </si>
  <si>
    <t># Other Channel
Widgets</t>
  </si>
  <si>
    <t>Needs TA
Guidance? (Y/N)</t>
  </si>
  <si>
    <t>Widget
Hrs</t>
  </si>
  <si>
    <t>TA
Hrs</t>
  </si>
  <si>
    <t>Messaging Setup (EXAMPLE — overwrite)</t>
  </si>
  <si>
    <t>N</t>
  </si>
  <si>
    <t>SECTION 3 — RESULT  (no PM applied — see note above)</t>
  </si>
  <si>
    <t>Total hours</t>
  </si>
  <si>
    <t>Final hours (incl. timeline multiplier)</t>
  </si>
  <si>
    <t>AI Copilot Calculator</t>
  </si>
  <si>
    <t>WHAT'S INCLUDED: Two tiers — simply turning on Copilot features (overview only, no config), or the fuller tier that also builds auto-assist procedures, reviews Copilot recommendations, and configures suggestions. No PM is applied for the "turning on features only" tier per the original rate card.</t>
  </si>
  <si>
    <t>Sources reviewed: original Sow Collab "Voice" tab.</t>
  </si>
  <si>
    <t>• Tier 1 (Product feature review): up to 1×1.5h session.</t>
  </si>
  <si>
    <t>• Tier 2 (Expanded effort): up to 1×1hr overview session + up to 2×1hr collaboration sessions.</t>
  </si>
  <si>
    <t>AIAA Calculator</t>
  </si>
  <si>
    <t>WHAT'S INCLUDED: AI Agents/Advanced Automation setup — source connection &amp; discovery, build of up to 3 standard-size custom use cases (no more than 20 blocks per procedure/dialogue), 2 included API connections/action flows, Zendesk support routing for the messaging channel, and TA guidance time. PM is only needed if the project exceeds 40 total hours or isn't standalone.</t>
  </si>
  <si>
    <t>Tier 1 — Turning on features &amp; overview — flat hrs</t>
  </si>
  <si>
    <t>Sources reviewed: original Sow Collab "OOB Messaging" tab.</t>
  </si>
  <si>
    <t>From the original AI Copilot rate card. No PM needed for this tier.</t>
  </si>
  <si>
    <t>• Up to 1 session for source connection &amp; initial bot-testing objectives.</t>
  </si>
  <si>
    <t>Tier 2 — Above, plus procedures/best practices/entities/suggestion config — flat hrs TOTAL</t>
  </si>
  <si>
    <t>From the original AI Copilot rate card. This is the total for the full tier, inclusive of the Tier-1 work — not additive on top of Tier 1.</t>
  </si>
  <si>
    <t>• Up to 3×1hr collaboration sessions (including testing discussions).</t>
  </si>
  <si>
    <t>• Up to 1×1hr admin training session if not bundled with a Support package.</t>
  </si>
  <si>
    <t>Row below marked EXAMPLE is a sample entry — overwrite it. Columns C onward calculate automatically. PM only applies to Tier 2 — Tier 1 carries no PM per the original rate card.</t>
  </si>
  <si>
    <t>Tier</t>
  </si>
  <si>
    <t>Hours</t>
  </si>
  <si>
    <t>PM
Hrs</t>
  </si>
  <si>
    <t>AI Copilot Rollout (EXAMPLE — overwrite)</t>
  </si>
  <si>
    <t>Tier 1 — Enable only</t>
  </si>
  <si>
    <t>BASELINE (flat, included in every scope)</t>
  </si>
  <si>
    <t>Connect sources &amp; discovery (3× 1-hr sessions) — flat hrs</t>
  </si>
  <si>
    <t>From the original AIAA rate card. This is Envoy's effort for the connect/discovery phase — see the meeting cadence note above for how that time is spent.</t>
  </si>
  <si>
    <t>Build up to 3 standard use cases — flat hrs</t>
  </si>
  <si>
    <t>From the original AIAA rate card. Standard = no more than 20 blocks per procedure/dialogue.</t>
  </si>
  <si>
    <t>ZD support routing for messaging channel — flat hrs</t>
  </si>
  <si>
    <t>From the original AIAA rate card.</t>
  </si>
  <si>
    <t>TA time for guidance — flat hrs</t>
  </si>
  <si>
    <t>INCLUDED ALLOWANCES</t>
  </si>
  <si>
    <t># API connections/action flows included</t>
  </si>
  <si>
    <t># use cases included</t>
  </si>
  <si>
    <t>Hrs per additional API connection/action flow (beyond included)</t>
  </si>
  <si>
    <t>Hrs per additional use case (beyond included)</t>
  </si>
  <si>
    <t>PM THRESHOLD</t>
  </si>
  <si>
    <t>PM-required hour threshold</t>
  </si>
  <si>
    <t>No PM needed if standalone and under this many total hours; projects over this threshold should include a PM. From the original AIAA rate card.</t>
  </si>
  <si>
    <t># API Connections/
Action Flows</t>
  </si>
  <si>
    <t># Use
Cases</t>
  </si>
  <si>
    <t>Baseline
Hrs</t>
  </si>
  <si>
    <t>AIAA Rollout (EXAMPLE — overwrite)</t>
  </si>
  <si>
    <t>QA Calculator</t>
  </si>
  <si>
    <t>WHAT'S INCLUDED: Up to 2 scorecards (8 rating categories each, plus 5 custom autoscoring categories), 2 workspaces (up to 4 standard roles), AutoQA (up to 6 autoscoring categories, 1 saved dashboard view), up to 2 Spotlight filters, up to 8 agent groups, and calibration/coaching (methodology only — two 30-minute sessions; Envoy does not run live calibration or author coaching content). No PM is applied on this tab per the original rate card.</t>
  </si>
  <si>
    <t>• Up to 4×1hr collaboration sessions.</t>
  </si>
  <si>
    <t>WFM Calculator</t>
  </si>
  <si>
    <t>WHAT'S INCLUDED: Workforce Management setup — discovery, configuration, UAT/soft launch/training, and hypercare. Discovery and Config both scale with the number of Agent Teams. Up to 4 workstreams are included; each additional workstream is a flat add-on.</t>
  </si>
  <si>
    <t>Total hours (incl. per-row PM)</t>
  </si>
  <si>
    <t>BASELINE (flat, included in every scope — sums to 20 hrs)</t>
  </si>
  <si>
    <t>From the original QA rate card.</t>
  </si>
  <si>
    <t>Scorecard &amp; rating categories — flat hrs</t>
  </si>
  <si>
    <t>AutoQA — flat hrs</t>
  </si>
  <si>
    <t>Spotlight &amp; review workflows — flat hrs</t>
  </si>
  <si>
    <t>Calibration &amp; coaching — flat hrs</t>
  </si>
  <si>
    <t>Methodology only — Envoy does not run live calibration or author coaching content.</t>
  </si>
  <si>
    <t>Dashboards — flat hrs</t>
  </si>
  <si>
    <t>Config — flat hrs</t>
  </si>
  <si>
    <t>Sources reviewed: original Sow Collab "AI Copilot" tab.</t>
  </si>
  <si>
    <t>Discovery — base flat hrs</t>
  </si>
  <si>
    <t>Reconstructed from the original rate card: base 6 hrs + 1.5 hrs per Agent Team. At 1 Agent Team this reproduces the original flat 7.5-hr Discovery figure exactly.</t>
  </si>
  <si>
    <t># workspaces included</t>
  </si>
  <si>
    <t>Discovery — hrs per Agent Team</t>
  </si>
  <si>
    <t>See note above.</t>
  </si>
  <si>
    <t># scorecards included</t>
  </si>
  <si>
    <t>Config — base flat hrs</t>
  </si>
  <si>
    <t>Reconstructed from the original rate card: base 6 hrs + 1 hr per Agent Team. At 1 Agent Team this reproduces the original flat 7-hr Config figure exactly.</t>
  </si>
  <si>
    <t>Config — hrs per Agent Team</t>
  </si>
  <si>
    <t>Hrs per additional workspace (beyond included)</t>
  </si>
  <si>
    <t>UAT / soft launch / training — flat hrs</t>
  </si>
  <si>
    <t>Hrs per additional scorecard, up to 5 rating categories (beyond included)</t>
  </si>
  <si>
    <t>From the original WFM rate card.</t>
  </si>
  <si>
    <t>Hypercare — flat hrs</t>
  </si>
  <si>
    <t>INCLUDED ALLOWANCE</t>
  </si>
  <si>
    <t># workstreams included</t>
  </si>
  <si>
    <t># Total
Workspaces</t>
  </si>
  <si>
    <t># Total
Scorecards</t>
  </si>
  <si>
    <t>Hrs per additional workstream (beyond included)</t>
  </si>
  <si>
    <t>QA Program Setup (EXAMPLE — overwrite)</t>
  </si>
  <si>
    <t>SECTION 3 — RESULT  (PM already applied per-row above the 40-hr threshold)</t>
  </si>
  <si>
    <t># Total
Workstreams</t>
  </si>
  <si>
    <t># Agent
Teams</t>
  </si>
  <si>
    <t>WFM Rollout (EXAMPLE — overwrite)</t>
  </si>
  <si>
    <t>Sources reviewed: original Sow Collab "AIAA" tab.</t>
  </si>
  <si>
    <t>Sources reviewed: original Sow Collab "QA" tab.</t>
  </si>
  <si>
    <t>Advanced Data Privacy Calculator</t>
  </si>
  <si>
    <t>WHAT'S INCLUDED: Two engagement types — a quick Feature Review (assess ADPP add-on status and readiness only), or the Full Implementation walking through all 6 phases: Discovery &amp; Readiness, Access Request &amp; Portal Setup, KMS Configuration, Sandbox Testing, Production Rollout, and Documentation &amp; Handoff. Client owns their own KMS-side configuration and ongoing key management throughout.</t>
  </si>
  <si>
    <t>Sources reviewed: original Sow Collab "WFM" tab.</t>
  </si>
  <si>
    <t>• Feature Review: up to 1×1hr additional session.</t>
  </si>
  <si>
    <t>• Full Implementation: up to 2×1hr discovery sessions, up to 3×1hr configuration guidance sessions, up to 2×1hr testing guidance sessions, up to 1×1hr go-live checklist/approval meeting.</t>
  </si>
  <si>
    <t>Custom Object Effort-Scoping Calculator</t>
  </si>
  <si>
    <t>Feature Review — flat hrs</t>
  </si>
  <si>
    <t>Quick assessment only: confirm ADPP add-on is active, review current data/field usage, flag known limitations. From the original Adv Data Privacy rate card.</t>
  </si>
  <si>
    <t>FULL IMPLEMENTATION — 6 PHASES</t>
  </si>
  <si>
    <t>WHAT'S INCLUDED: Zendesk Custom Object scope — data model design, build, object-facing UI (sidebar app or admin CRUD UI), and migration of data into the objects. Does NOT cover integrations/middleware — see the Custom App and Migration tabs for those.</t>
  </si>
  <si>
    <t>Phase 1: Discovery &amp; Readiness — flat hrs</t>
  </si>
  <si>
    <t>Confirm KMS provider (AWS/Azure/GCP/Thales), flag known limitations (no key rotation support, possible feature degradation).</t>
  </si>
  <si>
    <t>Phase 2: Access Request &amp; Portal Setup — flat hrs</t>
  </si>
  <si>
    <t>Submit access request in Admin Center, track invitation (expires in 7 days), coordinate with client's KMS owner.</t>
  </si>
  <si>
    <t>Phase 3: KMS Configuration — hrs (most variable phase; original range 6–10 hrs)</t>
  </si>
  <si>
    <t>Guide client through linking their KMS in the Secure Configuration Portal. Client owns actual KMS-side configuration. Editable — set to the midpoint of the original 6–10 hr range.</t>
  </si>
  <si>
    <t>Phase 4: Sandbox Testing — flat hrs</t>
  </si>
  <si>
    <t>Turn on advanced encryption in sandbox, test across affected fields, document degraded functionality, validate with stakeholders.</t>
  </si>
  <si>
    <t>Phase 5: Production Rollout — hrs (original range 3–5 hrs)</t>
  </si>
  <si>
    <t>• Up to 1×1hr meeting per Custom Object.</t>
  </si>
  <si>
    <t>Enable in production, confirm backfill encrypts correctly, monitor for issues. Editable — set to the midpoint of the original 3–5 hr range.</t>
  </si>
  <si>
    <t>Phase 6: Documentation &amp; Handoff — hrs (original range 2–3 hrs)</t>
  </si>
  <si>
    <t>Deliver config/decisions doc; client owns ongoing KMS key management going forward. Editable — set to the midpoint of the original 2–3 hr range.</t>
  </si>
  <si>
    <t>• Up to 1×1hr meeting for migration collaboration, if relevant.</t>
  </si>
  <si>
    <t>• Up to 1×1hr meeting for sidebar/app requirements, if needed.</t>
  </si>
  <si>
    <t>Engagement
Type</t>
  </si>
  <si>
    <t>• Up to 1×1hr meeting for sidebar/app training &amp; feedback, if relevant.</t>
  </si>
  <si>
    <t>ADPP Rollout (EXAMPLE — overwrite)</t>
  </si>
  <si>
    <t>Full Implementation</t>
  </si>
  <si>
    <t>SECTION 1 — ASSUMPTIONS  (gray = calibrated reference values, not meant to be edited; these drive every calculation below)</t>
  </si>
  <si>
    <t>DESIGN PHASE</t>
  </si>
  <si>
    <t>Design hrs — base per object</t>
  </si>
  <si>
    <t>Data type/relationship mapping + signoff workshop time for a single object. Estimate — not derived from an hourly SOW breakdown (past SOWs were fixed-bid).</t>
  </si>
  <si>
    <t>Design hrs — per field</t>
  </si>
  <si>
    <t>Incremental design/validation time per field. Estimate.</t>
  </si>
  <si>
    <t>Design hrs — per relationship field</t>
  </si>
  <si>
    <t>Relationship fields need cross-object mapping + validation, so weighted higher than flat fields. Estimate.</t>
  </si>
  <si>
    <t>BUILD PHASE</t>
  </si>
  <si>
    <t>Ticket Migration Effort-Scoping Calculator</t>
  </si>
  <si>
    <t>Build hrs — base per object</t>
  </si>
  <si>
    <t>Object shell creation and configuration. Estimate.</t>
  </si>
  <si>
    <t>Build hrs — per field</t>
  </si>
  <si>
    <t>Field creation + basic validation. Estimate, informed by Everlink's 21–200 column objects.</t>
  </si>
  <si>
    <t>Build hrs — per relationship field</t>
  </si>
  <si>
    <t>Relationship fields require build + cross-object testing. Estimate.</t>
  </si>
  <si>
    <t>MIGRATION (only applied if Migration Needed = Y)</t>
  </si>
  <si>
    <t>WHAT'S INCLUDED: Ticket/user/org/attachment data migration into Zendesk — data mapping, ticket-volume build/import/testing, attachment handling, and open/non-closed ticket delta handling. NOT ongoing integrations or custom object build — see those tabs for that scope.</t>
  </si>
  <si>
    <t>Migration hrs — flat per object</t>
  </si>
  <si>
    <t>Field mapping (legacy schema → CO schema) + CSV import + spot-check, per object. Modeled loosely on Everlink's Cherwell→CO migration. Estimate.</t>
  </si>
  <si>
    <t>UI / APP LAYER</t>
  </si>
  <si>
    <t>UI hrs — None: base</t>
  </si>
  <si>
    <t>No object-facing app in scope.</t>
  </si>
  <si>
    <t>UI hrs — None: per screen</t>
  </si>
  <si>
    <t>UI hrs — Read-only sidebar: base</t>
  </si>
  <si>
    <t>Ticket sidebar app, read-only lookup/display. Modeled loosely on Assurity/Everlink sidebar apps. Estimate.</t>
  </si>
  <si>
    <t>UI hrs — Read-only sidebar: per screen</t>
  </si>
  <si>
    <t>Additional panel/view beyond the first. Estimate.</t>
  </si>
  <si>
    <t>• Up to 1×1.5hr data-mapping session.</t>
  </si>
  <si>
    <t>UI hrs — Admin CRUD UI: base</t>
  </si>
  <si>
    <t>Standalone create/update/delete admin UI (e.g. Everlink's NavBar app). Estimate.</t>
  </si>
  <si>
    <t>UI hrs — Admin CRUD UI: per screen</t>
  </si>
  <si>
    <t>Additional list/detail screen. Estimate.</t>
  </si>
  <si>
    <t>OVERHEAD</t>
  </si>
  <si>
    <t>• Up to 1×1hr sample ticket feedback session.</t>
  </si>
  <si>
    <t>QA % of Design+Build+UI hours</t>
  </si>
  <si>
    <t>Object/relationship validation + UI testing. Estimate.</t>
  </si>
  <si>
    <t>• Up to 1×1hr close ticket feedback session.</t>
  </si>
  <si>
    <t>Docs &amp; training — flat hrs per project</t>
  </si>
  <si>
    <t>Data model doc + admin/agent training. Flat regardless of object count.</t>
  </si>
  <si>
    <t>SECTION 2 — CALCULATOR  (add one row per custom object; only edit columns A–F)</t>
  </si>
  <si>
    <t>• Up to 1×1hr go-live readiness collaboration session.</t>
  </si>
  <si>
    <t>Object Name</t>
  </si>
  <si>
    <t># Fields</t>
  </si>
  <si>
    <t># Relationship
Fields</t>
  </si>
  <si>
    <t>Migration
Needed? (Y/N)</t>
  </si>
  <si>
    <t>UI Type</t>
  </si>
  <si>
    <t># UI
Screens</t>
  </si>
  <si>
    <t>Design
Hours</t>
  </si>
  <si>
    <t>Build
Hours</t>
  </si>
  <si>
    <t>Migration
Hours</t>
  </si>
  <si>
    <t>UI
Hours</t>
  </si>
  <si>
    <t>QA
Hours</t>
  </si>
  <si>
    <t>Docs
Hours</t>
  </si>
  <si>
    <t>Total
Hours</t>
  </si>
  <si>
    <t>Client Lookup Object (EXAMPLE — overwrite)</t>
  </si>
  <si>
    <t>Read-only sidebar</t>
  </si>
  <si>
    <t>PROJECT-LEVEL (applied once per project, split evenly across the rows you enter)</t>
  </si>
  <si>
    <t>Sources reviewed: original Sow Collab "Adv Data Privacy" tab (6-phase KMS/encryption rollout process).</t>
  </si>
  <si>
    <t>Kickoff, mapping workbook, sample validation &amp; cutover coordination — flat hrs per project</t>
  </si>
  <si>
    <t>Reflects the standard Data Migration Workbook flow. This is Envoy's effort for this phase — see the meeting cadence note above for how that time is spent.</t>
  </si>
  <si>
    <t>DATA MAPPING</t>
  </si>
  <si>
    <t>Custom App Effort-Scoping Calculator</t>
  </si>
  <si>
    <t>Mapping/dev hrs — up to 10 custom fields</t>
  </si>
  <si>
    <t>Flat, covers both the data-mapping session and developer implementation time combined.</t>
  </si>
  <si>
    <t>Mapping/dev hrs — 10–30 custom fields (subtotal, not additive on top of the tier above)</t>
  </si>
  <si>
    <t>Flat subtotal for this tier — covers both mapping and developer time.</t>
  </si>
  <si>
    <t>Mapping/dev hrs — additional per grouping of 20 fields beyond 30</t>
  </si>
  <si>
    <t>Added on top of the 10–30 tier's 6 hrs for every additional 20 fields (or part thereof) beyond 30. Covers both mapping and developer time.</t>
  </si>
  <si>
    <t>WHAT'S INCLUDED: Custom Zendesk apps/integrations — sidebar apps, ticket-sidebar widgets, and backend integrations (e.g. Envoy Connect). NOT custom objects or data migration — see those tabs for that scope.</t>
  </si>
  <si>
    <t>TICKET VOLUME</t>
  </si>
  <si>
    <t>Build/import/testing hrs — per 1,000 tickets</t>
  </si>
  <si>
    <t>Derived from a real SFDC migration quote; migrations are batch/API-driven so this mainly captures validation and failure remediation effort.</t>
  </si>
  <si>
    <t>ATTACHMENTS</t>
  </si>
  <si>
    <t>Handling/testing hrs — per 1,000 attachments</t>
  </si>
  <si>
    <t>Attachment volume slows migration throughput and adds validation surface (CLEAR precedent).</t>
  </si>
  <si>
    <t>OPEN / NON-CLOSED TICKETS (delta migration)</t>
  </si>
  <si>
    <t>• Up to 1×1.5hr requirements session.</t>
  </si>
  <si>
    <t>Open-ticket threshold for manual vs. automation approach</t>
  </si>
  <si>
    <t>Per Envoy's Data Migration Workbook.</t>
  </si>
  <si>
    <t>Manual approach — flat hrs (used when open tickets ≤ threshold)</t>
  </si>
  <si>
    <t>Build a view + macro to notify requesters.</t>
  </si>
  <si>
    <t>Automation approach — base hrs (used when open tickets &gt; threshold)</t>
  </si>
  <si>
    <t>Build the requester-notification automation + warning triggers before cutover.</t>
  </si>
  <si>
    <t>• Up to 2×1hr feedback sessions.</t>
  </si>
  <si>
    <t>Automation approach — additional hrs per 1,000 open tickets</t>
  </si>
  <si>
    <t>Each additional automation cycle needs its own pass.</t>
  </si>
  <si>
    <t>SOURCE SYSTEM COMPLEXITY MULTIPLIER (applied to mapping + volume + attachment + open-ticket hours)</t>
  </si>
  <si>
    <t>Multiplier — CSV export</t>
  </si>
  <si>
    <t>Most common source format.</t>
  </si>
  <si>
    <t>Multiplier — API pull</t>
  </si>
  <si>
    <t>Auth/rate-limit handling and incremental pulls.</t>
  </si>
  <si>
    <t>Multiplier — CRM (Salesforce / other)</t>
  </si>
  <si>
    <t>"SFDC is always tricky" — object relationships and record-type mapping add real overhead.</t>
  </si>
  <si>
    <t>MIGRATION METHOD OVERHEAD (flat, applied once per row)</t>
  </si>
  <si>
    <t>Flat overhead hrs — Custom developer (e.g. internal dev)</t>
  </si>
  <si>
    <t>Variable cost already captured above.</t>
  </si>
  <si>
    <t>Flat overhead hrs — Migration tool (e.g. Relokia)</t>
  </si>
  <si>
    <t>Tool setup/config + EM time bundled here as a flat add.</t>
  </si>
  <si>
    <t>QA/validation % of mapping + volume + attachment + open-ticket hours</t>
  </si>
  <si>
    <t>Structured sample-migration validation, modeled on the CLEAR Sample Migration Validation Guide.</t>
  </si>
  <si>
    <t>SECTION 2 — CALCULATOR  (add one row per migration scope; only edit columns A–G)</t>
  </si>
  <si>
    <t>Row below marked EXAMPLE is a sample entry — overwrite it. Columns H onward calculate automatically.</t>
  </si>
  <si>
    <t>PROJECT-LEVEL (kickoff + post-launch/transition, applied once per project, split evenly across rows entered)</t>
  </si>
  <si>
    <t>Migration Scope Name</t>
  </si>
  <si>
    <t># Tickets</t>
  </si>
  <si>
    <t>#
Attachments</t>
  </si>
  <si>
    <t># Custom
Fields</t>
  </si>
  <si>
    <t># Open/Non-
Closed Tickets</t>
  </si>
  <si>
    <t>Source
System</t>
  </si>
  <si>
    <t>Migration
Method</t>
  </si>
  <si>
    <t>Mapping
Hrs</t>
  </si>
  <si>
    <t>Volume
Hrs</t>
  </si>
  <si>
    <t>Attachment
Hrs</t>
  </si>
  <si>
    <t>Open-Ticket
Hrs</t>
  </si>
  <si>
    <t>QA
Hrs</t>
  </si>
  <si>
    <t>Kickoff + post-launch/transition — flat hrs per project</t>
  </si>
  <si>
    <t>Closed Tickets (EXAMPLE — overwrite)</t>
  </si>
  <si>
    <t>Anchored to State Bar of California SOW 004 Phase 1 (Kickoff) and Phase 6 (Post-Go-Live/Transition).</t>
  </si>
  <si>
    <t>Design hrs — base per app</t>
  </si>
  <si>
    <t>Calibrated against State Bar SOW 004 Phase 2 (Architecture &amp; Design).</t>
  </si>
  <si>
    <t>API pull</t>
  </si>
  <si>
    <t>Design hrs — per field/data point</t>
  </si>
  <si>
    <t>Field-by-field mapping and TDD documentation.</t>
  </si>
  <si>
    <t>Custom developer</t>
  </si>
  <si>
    <t>Design hrs — per field option (dropdown value)</t>
  </si>
  <si>
    <t>Calibrated to the SOW 004 base case (30 field options).</t>
  </si>
  <si>
    <t>Design hrs — flat add if attachment sync is in scope</t>
  </si>
  <si>
    <t>Attachment sync between systems adds real design surface.</t>
  </si>
  <si>
    <t>Build hrs — base per app</t>
  </si>
  <si>
    <t>Calibrated against State Bar SOW 004 Phase 3 (Build), the largest single phase.</t>
  </si>
  <si>
    <t>Build hrs — per field/data point</t>
  </si>
  <si>
    <t>Calibrated to the SOW 004 base case.</t>
  </si>
  <si>
    <t>Build hrs — per field option (dropdown value)</t>
  </si>
  <si>
    <t>Build hrs — flat add if attachment sync is in scope</t>
  </si>
  <si>
    <t>Attachment sync build/testing overhead.</t>
  </si>
  <si>
    <t>EXTERNAL THIRD-PARTY API MULTIPLIER (applied to Design + Build + QA hours)</t>
  </si>
  <si>
    <t>Multiplier — calls an external 3rd-party API (e.g. translation, CRM)</t>
  </si>
  <si>
    <t>TransPerfect's translation sidebar app ran an 8–10 week timeline vs. State Bar's 4–6 weeks for a simpler sync.</t>
  </si>
  <si>
    <t>APP TYPE MULTIPLIER (applied to Design + Build hours)</t>
  </si>
  <si>
    <t>Multiplier — Read-only sidebar app (display only)</t>
  </si>
  <si>
    <t>Simplest profile — Assurity's read-only sidebar app.</t>
  </si>
  <si>
    <t>Multiplier — Sidebar app with write-back actions</t>
  </si>
  <si>
    <t>Baseline.</t>
  </si>
  <si>
    <t>Multiplier — Backend integration (e.g. Envoy Connect, no UI)</t>
  </si>
  <si>
    <t>Baseline — the State Bar of California SOW 004 profile itself.</t>
  </si>
  <si>
    <t>Multiplier — Combined sidebar UI + backend integration</t>
  </si>
  <si>
    <t>Everlink's combined sidebar-lookup + full NavBar CRUD UI + backend sync — the largest app-layer scope reviewed.</t>
  </si>
  <si>
    <t>QA / GO-LIVE PHASE</t>
  </si>
  <si>
    <t>QA hrs — base per app</t>
  </si>
  <si>
    <t>Calibrated against State Bar SOW 004 Phase 4 (QA &amp; Go-Live Prep).</t>
  </si>
  <si>
    <t>QA hrs — per field/data point</t>
  </si>
  <si>
    <t>QA hrs — flat add if attachment sync is in scope</t>
  </si>
  <si>
    <t>TRAINING</t>
  </si>
  <si>
    <t>Training hrs — flat per app</t>
  </si>
  <si>
    <t>Matches State Bar SOW 004 Phase 5 (Training) exactly.</t>
  </si>
  <si>
    <t>SECTION 2 — CALCULATOR  (add one row per app/integration; only edit columns A–F)</t>
  </si>
  <si>
    <t>App Name</t>
  </si>
  <si>
    <t># Fields /
Data Points</t>
  </si>
  <si>
    <t># Field
Options</t>
  </si>
  <si>
    <t>Attachment
Sync? (Y/N)</t>
  </si>
  <si>
    <t>Calls External
API? (Y/N)</t>
  </si>
  <si>
    <t>App Type</t>
  </si>
  <si>
    <t>Jira Sync Integration (EXAMPLE — overwrite)</t>
  </si>
  <si>
    <t>Read-only sidebar app (display only)</t>
  </si>
  <si>
    <t>Analytics (Explore) Calculator</t>
  </si>
  <si>
    <t>WHAT'S INCLUDED: Baseline Explore reporting setup — up to 1 dashboard, 5 reports, and 3 custom metrics/attributes, plus an overview meeting. Anything beyond the baseline is scoped as additional units below, plus an optional report-building training session and a single report-requirements review meeting (counted as real hours in the calculator below, not just informational).</t>
  </si>
  <si>
    <t>• Up to 1×30-min kickoff call.</t>
  </si>
  <si>
    <t>• Up to 1 discovery &amp; requirements session (business process review, goals, and report/dashboard requirements).</t>
  </si>
  <si>
    <t>• Up to 2×1hr sessions to build and review the functional report design.</t>
  </si>
  <si>
    <t>• Up to 2 rounds of client review &amp; feedback on the configuration.</t>
  </si>
  <si>
    <t>• Up to 1×60-min training &amp; handoff session for Admins &amp; Agents.</t>
  </si>
  <si>
    <t>BASELINE (minimum 10 hrs — up to 1 dashboard, 5 reports, 3 custom metrics/attributes; includes overview meeting)</t>
  </si>
  <si>
    <t>Baseline — flat hrs</t>
  </si>
  <si>
    <t>From the original Analytics rate card.</t>
  </si>
  <si>
    <t>ADDITIONAL UNITS (beyond baseline)</t>
  </si>
  <si>
    <t>Hrs per additional dashboard</t>
  </si>
  <si>
    <t>Hrs per additional custom report</t>
  </si>
  <si>
    <t>Hrs per additional custom metric/attribute</t>
  </si>
  <si>
    <t># Objects entered</t>
  </si>
  <si>
    <t>OPTIONAL ADD-ON</t>
  </si>
  <si>
    <t>Report-building training session — flat hrs</t>
  </si>
  <si>
    <t>1-hour training session. From the original Analytics rate card.</t>
  </si>
  <si>
    <t>REQUIREMENTS REVIEW</t>
  </si>
  <si>
    <t>Report requirements review meeting — flat hrs (1×1hr, once per scope)</t>
  </si>
  <si>
    <t>Single meeting to review report requirements, per your direction — not scaled by hours.</t>
  </si>
  <si>
    <t>SECTION 2 — CALCULATOR  (add one row per scope; only edit columns A—E)</t>
  </si>
  <si>
    <t>Suggested effort band</t>
  </si>
  <si>
    <t>Row below marked EXAMPLE is a sample entry — overwrite it. Columns F onward calculate automatically. Enter TOTAL counts (baseline is netted out automatically) for dashboards/reports/metrics.</t>
  </si>
  <si>
    <t># Total
Dashboards</t>
  </si>
  <si>
    <t># Total
Reports</t>
  </si>
  <si>
    <t># Total Custom
Metrics</t>
  </si>
  <si>
    <t>Include Training
Session? (Y/N)</t>
  </si>
  <si>
    <t>Baseline+
Addl Hrs</t>
  </si>
  <si>
    <t>Requirements
Meeting Hrs</t>
  </si>
  <si>
    <t>Explore Setup (EXAMPLE — overwrite)</t>
  </si>
  <si>
    <t>Bands: Low = 1 object/&lt;25 fields/no relationships. Mid ≈ Assurity precedent. High ≈ Everlink precedent.</t>
  </si>
  <si>
    <t>Total estimated hours / cost (pre-PM)</t>
  </si>
  <si>
    <t>PM hours (35% standard)</t>
  </si>
  <si>
    <t># Migration scopes entered</t>
  </si>
  <si>
    <t>Final cost ($, incl. PM + timeline)</t>
  </si>
  <si>
    <t>Bands by total ticket volume: Low &lt;25k. Mid 25k–150k. High &gt;150k.</t>
  </si>
  <si>
    <t>Sources reviewed: Assurity Custom App Build SOW, Everlink Payment Services SOW 003.</t>
  </si>
  <si>
    <t># Apps entered</t>
  </si>
  <si>
    <t>Sources reviewed: Envoy Data Migration Workbooks, CLEAR Sample Migration Validation Guide, AMI Strategies / Dye &amp; Durham / SFDC migration scoping threads.</t>
  </si>
  <si>
    <t>Bands by total hours: Low &lt;60. Mid 60–120 (≈ State Bar SOW 004). High &gt;120 (≈ Everlink / TransPerfect).</t>
  </si>
  <si>
    <t>Sources reviewed: original Sow Collab "Analytics" tab.</t>
  </si>
  <si>
    <t>Sources reviewed: The State Bar of California SOW 004 (v4), TransPerfect Custom Zendesk App SOW 001 (v2), Assurity Custom App Build SOW 001, Everlink Payment Services SOW 003.</t>
  </si>
  <si>
    <t>Public Slack Community Support Calculator</t>
  </si>
  <si>
    <t>WHAT'S INCLUDED: A modifier for projects that include a shared/public Slack channel for client support alongside the main engagement. The original rate card defines this as a flat 8% add-on to that project's PM + Consultant time, rather than a standalone build — so this tab is a modifier calculator, not a line-item calculator like the others.</t>
  </si>
  <si>
    <t>• This is always an add-on to another project's hours, not a standalone sale — the standard note below is included for consistency but is unlikely to apply in practice.</t>
  </si>
  <si>
    <t>Public Slack support — % of project PM + Consultant time</t>
  </si>
  <si>
    <t>From the original Public Slack rate card.</t>
  </si>
  <si>
    <t>SECTION 2 — CALCULATOR  (enter the project's total PM + Consultant hours from its own tab)</t>
  </si>
  <si>
    <t>Row below marked EXAMPLE is a sample entry — overwrite it. Column C onward calculates automatically.</t>
  </si>
  <si>
    <t>Project Name</t>
  </si>
  <si>
    <t>Project PM +
Consultant Hrs</t>
  </si>
  <si>
    <t>Public Slack
Hrs (8%)</t>
  </si>
  <si>
    <t>Client Rollout (EXAMPLE — overwrite)</t>
  </si>
  <si>
    <t>SECTION 3 — RESULT  (this is already a % modifier — no additional PM or timeline multiplier applies)</t>
  </si>
  <si>
    <t>Total Public Slack hours / cost</t>
  </si>
  <si>
    <t>Sources reviewed: original Sow Collab "Public Slack" tab.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</si>
</sst>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\$#,##0"/>
  </numFmts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333333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i/>
      <sz val="9.0"/>
      <color rgb="FF666666"/>
      <name val="Arial"/>
    </font>
    <font>
      <sz val="11.0"/>
      <color rgb="FF000000"/>
      <name val="Arial"/>
    </font>
    <font>
      <u/>
      <sz val="11.0"/>
      <color rgb="FF0563C1"/>
      <name val="Arial"/>
    </font>
    <font>
      <sz val="11.0"/>
      <color theme="1"/>
      <name val="Calibri"/>
    </font>
    <font>
      <sz val="11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B2E4F"/>
        <bgColor rgb="FF0B2E4F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horizontal="left" shrinkToFit="0" vertical="center" wrapText="0"/>
    </xf>
    <xf borderId="1" fillId="4" fontId="5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5" fillId="3" fontId="4" numFmtId="0" xfId="0" applyAlignment="1" applyBorder="1" applyFill="1" applyFont="1">
      <alignment shrinkToFit="0" vertical="bottom" wrapText="0"/>
    </xf>
    <xf borderId="6" fillId="0" fontId="2" numFmtId="0" xfId="0" applyBorder="1" applyFont="1"/>
    <xf borderId="7" fillId="0" fontId="2" numFmtId="0" xfId="0" applyBorder="1" applyFont="1"/>
    <xf borderId="1" fillId="3" fontId="7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5" fontId="7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top" wrapText="1"/>
    </xf>
    <xf borderId="4" fillId="0" fontId="8" numFmtId="0" xfId="0" applyAlignment="1" applyBorder="1" applyFont="1">
      <alignment horizontal="center" shrinkToFit="0" vertical="bottom" wrapText="0"/>
    </xf>
    <xf borderId="4" fillId="5" fontId="7" numFmtId="164" xfId="0" applyAlignment="1" applyBorder="1" applyFill="1" applyFont="1" applyNumberFormat="1">
      <alignment horizontal="center" shrinkToFit="0" vertical="bottom" wrapText="0"/>
    </xf>
    <xf borderId="8" fillId="3" fontId="4" numFmtId="0" xfId="0" applyAlignment="1" applyBorder="1" applyFill="1" applyFont="1">
      <alignment shrinkToFit="0" vertical="center" wrapText="1"/>
    </xf>
    <xf borderId="8" fillId="3" fontId="9" numFmtId="0" xfId="0" applyAlignment="1" applyBorder="1" applyFill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1" fillId="3" fontId="6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center" wrapText="1"/>
    </xf>
    <xf borderId="4" fillId="6" fontId="10" numFmtId="0" xfId="0" applyAlignment="1" applyBorder="1" applyFill="1" applyFont="1">
      <alignment horizontal="left" shrinkToFit="0" vertical="bottom" wrapText="0"/>
    </xf>
    <xf borderId="4" fillId="6" fontId="10" numFmtId="0" xfId="0" applyAlignment="1" applyBorder="1" applyFill="1" applyFont="1">
      <alignment horizontal="center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7" numFmtId="165" xfId="0" applyAlignment="1" applyBorder="1" applyFont="1" applyNumberFormat="1">
      <alignment horizontal="center" shrinkToFit="0" vertical="bottom" wrapText="0"/>
    </xf>
    <xf borderId="4" fillId="7" fontId="9" numFmtId="0" xfId="0" applyAlignment="1" applyBorder="1" applyFill="1" applyFont="1">
      <alignment shrinkToFit="0" vertical="bottom" wrapText="0"/>
    </xf>
    <xf borderId="4" fillId="0" fontId="7" numFmtId="166" xfId="0" applyAlignment="1" applyBorder="1" applyFont="1" applyNumberFormat="1">
      <alignment horizontal="center" shrinkToFit="0" vertical="bottom" wrapText="0"/>
    </xf>
    <xf borderId="4" fillId="6" fontId="10" numFmtId="0" xfId="0" applyAlignment="1" applyBorder="1" applyFill="1" applyFont="1">
      <alignment horizontal="center" readingOrder="0" shrinkToFit="0" vertical="bottom" wrapText="0"/>
    </xf>
    <xf borderId="4" fillId="8" fontId="4" numFmtId="0" xfId="0" applyAlignment="1" applyBorder="1" applyFill="1" applyFont="1">
      <alignment shrinkToFit="0" vertical="bottom" wrapText="0"/>
    </xf>
    <xf borderId="4" fillId="5" fontId="7" numFmtId="0" xfId="0" applyAlignment="1" applyBorder="1" applyFill="1" applyFont="1">
      <alignment horizontal="center" readingOrder="0" shrinkToFit="0" vertical="bottom" wrapText="0"/>
    </xf>
    <xf borderId="4" fillId="8" fontId="4" numFmtId="3" xfId="0" applyAlignment="1" applyBorder="1" applyFill="1" applyFont="1" applyNumberFormat="1">
      <alignment horizontal="center" shrinkToFit="0" vertical="bottom" wrapText="0"/>
    </xf>
    <xf borderId="4" fillId="8" fontId="9" numFmtId="0" xfId="0" applyAlignment="1" applyBorder="1" applyFill="1" applyFont="1">
      <alignment shrinkToFit="0" vertical="bottom" wrapText="0"/>
    </xf>
    <xf borderId="4" fillId="8" fontId="4" numFmtId="165" xfId="0" applyAlignment="1" applyBorder="1" applyFill="1" applyFont="1" applyNumberFormat="1">
      <alignment horizontal="center" shrinkToFit="0" vertical="bottom" wrapText="0"/>
    </xf>
    <xf borderId="4" fillId="8" fontId="4" numFmtId="166" xfId="0" applyAlignment="1" applyBorder="1" applyFill="1" applyFont="1" applyNumberFormat="1">
      <alignment horizontal="center" shrinkToFit="0" vertical="bottom" wrapText="0"/>
    </xf>
    <xf borderId="8" fillId="3" fontId="4" numFmtId="0" xfId="0" applyAlignment="1" applyBorder="1" applyFill="1" applyFont="1">
      <alignment shrinkToFit="0" vertical="bottom" wrapText="0"/>
    </xf>
    <xf borderId="8" fillId="3" fontId="7" numFmtId="165" xfId="0" applyAlignment="1" applyBorder="1" applyFill="1" applyFont="1" applyNumberFormat="1">
      <alignment horizontal="center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8" fillId="3" fontId="7" numFmtId="166" xfId="0" applyAlignment="1" applyBorder="1" applyFill="1" applyFont="1" applyNumberFormat="1">
      <alignment horizontal="center" shrinkToFit="0" vertical="bottom" wrapText="0"/>
    </xf>
    <xf borderId="1" fillId="3" fontId="6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8" fillId="3" fontId="4" numFmtId="0" xfId="0" applyAlignment="1" applyBorder="1" applyFill="1" applyFont="1">
      <alignment horizontal="center" shrinkToFit="0" vertical="bottom" wrapText="0"/>
    </xf>
    <xf borderId="1" fillId="3" fontId="6" numFmtId="0" xfId="0" applyAlignment="1" applyBorder="1" applyFill="1" applyFont="1">
      <alignment shrinkToFit="0" vertical="bottom" wrapText="1"/>
    </xf>
    <xf borderId="8" fillId="3" fontId="4" numFmtId="165" xfId="0" applyAlignment="1" applyBorder="1" applyFill="1" applyFont="1" applyNumberFormat="1">
      <alignment horizontal="center" shrinkToFit="0" vertical="bottom" wrapText="0"/>
    </xf>
    <xf borderId="8" fillId="3" fontId="4" numFmtId="166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ow_collab_rebuilt.xlsx" TargetMode="External"/><Relationship Id="rId10" Type="http://schemas.openxmlformats.org/officeDocument/2006/relationships/hyperlink" Target="http://sow_collab_rebuilt.xlsx" TargetMode="External"/><Relationship Id="rId13" Type="http://schemas.openxmlformats.org/officeDocument/2006/relationships/hyperlink" Target="http://sow_collab_rebuilt.xlsx" TargetMode="External"/><Relationship Id="rId12" Type="http://schemas.openxmlformats.org/officeDocument/2006/relationships/hyperlink" Target="http://sow_collab_rebuilt.xlsx" TargetMode="External"/><Relationship Id="rId1" Type="http://schemas.openxmlformats.org/officeDocument/2006/relationships/hyperlink" Target="http://sow_collab_rebuilt.xlsx" TargetMode="External"/><Relationship Id="rId2" Type="http://schemas.openxmlformats.org/officeDocument/2006/relationships/hyperlink" Target="http://sow_collab_rebuilt.xlsx" TargetMode="External"/><Relationship Id="rId3" Type="http://schemas.openxmlformats.org/officeDocument/2006/relationships/hyperlink" Target="http://sow_collab_rebuilt.xlsx" TargetMode="External"/><Relationship Id="rId4" Type="http://schemas.openxmlformats.org/officeDocument/2006/relationships/hyperlink" Target="http://sow_collab_rebuilt.xlsx" TargetMode="External"/><Relationship Id="rId9" Type="http://schemas.openxmlformats.org/officeDocument/2006/relationships/hyperlink" Target="http://sow_collab_rebuilt.xlsx" TargetMode="External"/><Relationship Id="rId15" Type="http://schemas.openxmlformats.org/officeDocument/2006/relationships/hyperlink" Target="http://sow_collab_rebuilt.xlsx" TargetMode="External"/><Relationship Id="rId14" Type="http://schemas.openxmlformats.org/officeDocument/2006/relationships/hyperlink" Target="http://sow_collab_rebuilt.xlsx" TargetMode="External"/><Relationship Id="rId17" Type="http://schemas.openxmlformats.org/officeDocument/2006/relationships/hyperlink" Target="http://sow_collab_rebuilt.xlsx" TargetMode="External"/><Relationship Id="rId16" Type="http://schemas.openxmlformats.org/officeDocument/2006/relationships/hyperlink" Target="http://sow_collab_rebuilt.xlsx" TargetMode="External"/><Relationship Id="rId5" Type="http://schemas.openxmlformats.org/officeDocument/2006/relationships/hyperlink" Target="http://sow_collab_rebuilt.xlsx" TargetMode="External"/><Relationship Id="rId6" Type="http://schemas.openxmlformats.org/officeDocument/2006/relationships/hyperlink" Target="http://sow_collab_rebuilt.xlsx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sow_collab_rebuilt.xlsx" TargetMode="External"/><Relationship Id="rId8" Type="http://schemas.openxmlformats.org/officeDocument/2006/relationships/hyperlink" Target="http://sow_collab_rebuilt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70.0"/>
    <col customWidth="1" min="3" max="3" width="14.0"/>
    <col customWidth="1" min="4" max="26" width="8.71"/>
  </cols>
  <sheetData>
    <row r="1" ht="27.75" customHeight="1">
      <c r="A1" s="1" t="s">
        <v>0</v>
      </c>
      <c r="B1" s="2"/>
      <c r="C1" s="3"/>
    </row>
    <row r="2" ht="30.0" customHeight="1">
      <c r="A2" s="4" t="s">
        <v>4</v>
      </c>
      <c r="B2" s="2"/>
      <c r="C2" s="3"/>
    </row>
    <row r="3" ht="6.0" customHeight="1"/>
    <row r="4">
      <c r="A4" s="5" t="s">
        <v>6</v>
      </c>
      <c r="B4" s="5" t="s">
        <v>8</v>
      </c>
      <c r="C4" s="5" t="s">
        <v>9</v>
      </c>
    </row>
    <row r="5" ht="18.0" customHeight="1">
      <c r="A5" s="7" t="s">
        <v>11</v>
      </c>
      <c r="B5" s="2"/>
      <c r="C5" s="3"/>
    </row>
    <row r="6" ht="30.0" customHeight="1">
      <c r="A6" s="8" t="s">
        <v>13</v>
      </c>
      <c r="B6" s="10" t="s">
        <v>16</v>
      </c>
      <c r="C6" s="18" t="s">
        <v>17</v>
      </c>
    </row>
    <row r="7" ht="18.0" customHeight="1">
      <c r="A7" s="7" t="s">
        <v>29</v>
      </c>
      <c r="B7" s="2"/>
      <c r="C7" s="3"/>
    </row>
    <row r="8" ht="30.0" customHeight="1">
      <c r="A8" s="8" t="s">
        <v>31</v>
      </c>
      <c r="B8" s="10" t="s">
        <v>33</v>
      </c>
      <c r="C8" s="18" t="s">
        <v>17</v>
      </c>
    </row>
    <row r="9" ht="30.0" customHeight="1">
      <c r="A9" s="8" t="s">
        <v>35</v>
      </c>
      <c r="B9" s="10" t="s">
        <v>36</v>
      </c>
      <c r="C9" s="18" t="s">
        <v>17</v>
      </c>
    </row>
    <row r="10" ht="30.0" customHeight="1">
      <c r="A10" s="8" t="s">
        <v>37</v>
      </c>
      <c r="B10" s="10" t="s">
        <v>39</v>
      </c>
      <c r="C10" s="18" t="s">
        <v>17</v>
      </c>
    </row>
    <row r="11" ht="30.0" customHeight="1">
      <c r="A11" s="8" t="s">
        <v>43</v>
      </c>
      <c r="B11" s="10" t="s">
        <v>46</v>
      </c>
      <c r="C11" s="18" t="s">
        <v>17</v>
      </c>
    </row>
    <row r="12" ht="18.0" customHeight="1">
      <c r="A12" s="7" t="s">
        <v>49</v>
      </c>
      <c r="B12" s="2"/>
      <c r="C12" s="3"/>
    </row>
    <row r="13" ht="30.0" customHeight="1">
      <c r="A13" s="8" t="s">
        <v>52</v>
      </c>
      <c r="B13" s="10" t="s">
        <v>54</v>
      </c>
      <c r="C13" s="18" t="s">
        <v>17</v>
      </c>
    </row>
    <row r="14" ht="30.0" customHeight="1">
      <c r="A14" s="8" t="s">
        <v>57</v>
      </c>
      <c r="B14" s="10" t="s">
        <v>58</v>
      </c>
      <c r="C14" s="18" t="s">
        <v>17</v>
      </c>
    </row>
    <row r="15" ht="18.0" customHeight="1">
      <c r="A15" s="7" t="s">
        <v>61</v>
      </c>
      <c r="B15" s="2"/>
      <c r="C15" s="3"/>
    </row>
    <row r="16" ht="30.0" customHeight="1">
      <c r="A16" s="8" t="s">
        <v>64</v>
      </c>
      <c r="B16" s="10" t="s">
        <v>65</v>
      </c>
      <c r="C16" s="18" t="s">
        <v>17</v>
      </c>
    </row>
    <row r="17" ht="30.0" customHeight="1">
      <c r="A17" s="8" t="s">
        <v>69</v>
      </c>
      <c r="B17" s="10" t="s">
        <v>71</v>
      </c>
      <c r="C17" s="18" t="s">
        <v>17</v>
      </c>
    </row>
    <row r="18" ht="18.0" customHeight="1">
      <c r="A18" s="7" t="s">
        <v>74</v>
      </c>
      <c r="B18" s="2"/>
      <c r="C18" s="3"/>
    </row>
    <row r="19" ht="30.0" customHeight="1">
      <c r="A19" s="8" t="s">
        <v>77</v>
      </c>
      <c r="B19" s="10" t="s">
        <v>78</v>
      </c>
      <c r="C19" s="18" t="s">
        <v>17</v>
      </c>
    </row>
    <row r="20" ht="30.0" customHeight="1">
      <c r="A20" s="8" t="s">
        <v>81</v>
      </c>
      <c r="B20" s="10" t="s">
        <v>82</v>
      </c>
      <c r="C20" s="18" t="s">
        <v>17</v>
      </c>
    </row>
    <row r="21" ht="18.0" customHeight="1">
      <c r="A21" s="7" t="s">
        <v>84</v>
      </c>
      <c r="B21" s="2"/>
      <c r="C21" s="3"/>
    </row>
    <row r="22" ht="30.0" customHeight="1">
      <c r="A22" s="8" t="s">
        <v>87</v>
      </c>
      <c r="B22" s="10" t="s">
        <v>89</v>
      </c>
      <c r="C22" s="18" t="s">
        <v>17</v>
      </c>
    </row>
    <row r="23" ht="30.0" customHeight="1">
      <c r="A23" s="8" t="s">
        <v>91</v>
      </c>
      <c r="B23" s="10" t="s">
        <v>92</v>
      </c>
      <c r="C23" s="18" t="s">
        <v>17</v>
      </c>
    </row>
    <row r="24" ht="30.0" customHeight="1">
      <c r="A24" s="8" t="s">
        <v>95</v>
      </c>
      <c r="B24" s="10" t="s">
        <v>96</v>
      </c>
      <c r="C24" s="18" t="s">
        <v>17</v>
      </c>
    </row>
    <row r="25" ht="30.0" customHeight="1">
      <c r="A25" s="8" t="s">
        <v>97</v>
      </c>
      <c r="B25" s="10" t="s">
        <v>98</v>
      </c>
      <c r="C25" s="18" t="s">
        <v>17</v>
      </c>
    </row>
    <row r="26" ht="18.0" customHeight="1">
      <c r="A26" s="7" t="s">
        <v>101</v>
      </c>
      <c r="B26" s="2"/>
      <c r="C26" s="3"/>
    </row>
    <row r="27" ht="30.0" customHeight="1">
      <c r="A27" s="8" t="s">
        <v>104</v>
      </c>
      <c r="B27" s="10" t="s">
        <v>105</v>
      </c>
      <c r="C27" s="18" t="s">
        <v>17</v>
      </c>
    </row>
    <row r="28" ht="30.0" customHeight="1">
      <c r="A28" s="8" t="s">
        <v>106</v>
      </c>
      <c r="B28" s="10" t="s">
        <v>107</v>
      </c>
      <c r="C28" s="18" t="s">
        <v>17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1:C21"/>
    <mergeCell ref="A26:C26"/>
    <mergeCell ref="A1:C1"/>
    <mergeCell ref="A2:C2"/>
    <mergeCell ref="A5:C5"/>
    <mergeCell ref="A7:C7"/>
    <mergeCell ref="A12:C12"/>
    <mergeCell ref="A15:C15"/>
    <mergeCell ref="A18:C18"/>
  </mergeCells>
  <hyperlinks>
    <hyperlink r:id="rId1" location="'Global%20Assumptions'!A1" ref="C6"/>
    <hyperlink r:id="rId2" location="'Support'!A1" ref="C8"/>
    <hyperlink r:id="rId3" location="'DC'!A1" ref="C9"/>
    <hyperlink r:id="rId4" location="'Multi%20Brand'!A1" ref="C10"/>
    <hyperlink r:id="rId5" location="'Custom%20HC'!A1" ref="C11"/>
    <hyperlink r:id="rId6" location="'Voice'!A1" ref="C13"/>
    <hyperlink r:id="rId7" location="'OOB%20Messaging'!A1" ref="C14"/>
    <hyperlink r:id="rId8" location="'AI%20Copilot'!A1" ref="C16"/>
    <hyperlink r:id="rId9" location="'AIAA'!A1" ref="C17"/>
    <hyperlink r:id="rId10" location="'QA'!A1" ref="C19"/>
    <hyperlink r:id="rId11" location="'WFM'!A1" ref="C20"/>
    <hyperlink r:id="rId12" location="'Adv%20Data%20Privacy'!A1" ref="C22"/>
    <hyperlink r:id="rId13" location="'custom%20objects'!A1" ref="C23"/>
    <hyperlink r:id="rId14" location="'Migration'!A1" ref="C24"/>
    <hyperlink r:id="rId15" location="'Custom%20App'!A1" ref="C25"/>
    <hyperlink r:id="rId16" location="'Analytics'!A1" ref="C27"/>
    <hyperlink r:id="rId17" location="'Public%20Slack'!A1" ref="C28"/>
  </hyperlinks>
  <printOptions/>
  <pageMargins bottom="1.0" footer="0.0" header="0.0" left="0.75" right="0.75" top="1.0"/>
  <pageSetup paperSize="9" orientation="portrait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2.0"/>
    <col customWidth="1" min="3" max="3" width="55.0"/>
    <col customWidth="1" min="4" max="6" width="12.0"/>
    <col customWidth="1" min="7" max="26" width="8.71"/>
  </cols>
  <sheetData>
    <row r="1" ht="27.75" customHeight="1">
      <c r="A1" s="1" t="s">
        <v>3</v>
      </c>
      <c r="B1" s="2"/>
      <c r="C1" s="2"/>
      <c r="D1" s="2"/>
      <c r="E1" s="2"/>
      <c r="F1" s="3"/>
    </row>
    <row r="2" ht="45.75" customHeight="1">
      <c r="A2" s="4" t="s">
        <v>10</v>
      </c>
      <c r="B2" s="2"/>
      <c r="C2" s="2"/>
      <c r="D2" s="2"/>
      <c r="E2" s="2"/>
      <c r="F2" s="3"/>
    </row>
    <row r="3" ht="6.0" customHeight="1"/>
    <row r="4" ht="19.5" customHeight="1">
      <c r="A4" s="6" t="s">
        <v>15</v>
      </c>
      <c r="B4" s="2"/>
      <c r="C4" s="2"/>
      <c r="D4" s="2"/>
      <c r="E4" s="2"/>
      <c r="F4" s="3"/>
    </row>
    <row r="5">
      <c r="A5" s="5" t="s">
        <v>19</v>
      </c>
      <c r="B5" s="5" t="s">
        <v>20</v>
      </c>
      <c r="C5" s="11" t="s">
        <v>21</v>
      </c>
      <c r="D5" s="12"/>
      <c r="E5" s="12"/>
      <c r="F5" s="13"/>
    </row>
    <row r="6" ht="30.0" customHeight="1">
      <c r="A6" s="15" t="s">
        <v>23</v>
      </c>
      <c r="B6" s="16">
        <v>258.0</v>
      </c>
      <c r="C6" s="17" t="s">
        <v>26</v>
      </c>
    </row>
    <row r="7" ht="30.0" customHeight="1">
      <c r="A7" s="15" t="s">
        <v>27</v>
      </c>
      <c r="B7" s="19">
        <v>0.35</v>
      </c>
      <c r="C7" s="17" t="s">
        <v>30</v>
      </c>
    </row>
    <row r="8" ht="4.5" customHeight="1"/>
    <row r="9" ht="24.0" customHeight="1">
      <c r="A9" s="20" t="s">
        <v>32</v>
      </c>
      <c r="B9" s="21"/>
      <c r="C9" s="21"/>
      <c r="D9" s="21"/>
      <c r="E9" s="21"/>
      <c r="F9" s="21"/>
    </row>
    <row r="10" ht="30.0" customHeight="1">
      <c r="A10" s="15" t="s">
        <v>38</v>
      </c>
      <c r="B10" s="16">
        <v>1.0</v>
      </c>
      <c r="C10" s="17" t="s">
        <v>40</v>
      </c>
    </row>
    <row r="11" ht="30.0" customHeight="1">
      <c r="A11" s="15" t="s">
        <v>42</v>
      </c>
      <c r="B11" s="16">
        <v>1.2</v>
      </c>
      <c r="C11" s="17" t="s">
        <v>45</v>
      </c>
    </row>
    <row r="12" ht="30.0" customHeight="1">
      <c r="A12" s="15" t="s">
        <v>48</v>
      </c>
      <c r="B12" s="16">
        <v>1.3</v>
      </c>
      <c r="C12" s="17" t="s">
        <v>45</v>
      </c>
    </row>
    <row r="13" ht="30.0" customHeight="1">
      <c r="A13" s="15" t="s">
        <v>50</v>
      </c>
      <c r="B13" s="16">
        <v>1.4</v>
      </c>
      <c r="C13" s="17" t="s">
        <v>51</v>
      </c>
    </row>
    <row r="14" ht="30.0" customHeight="1">
      <c r="A14" s="15" t="s">
        <v>55</v>
      </c>
      <c r="B14" s="16">
        <v>1.0</v>
      </c>
      <c r="C14" s="17" t="s">
        <v>56</v>
      </c>
    </row>
    <row r="16" ht="19.5" customHeight="1">
      <c r="A16" s="6" t="s">
        <v>59</v>
      </c>
      <c r="B16" s="2"/>
      <c r="C16" s="2"/>
      <c r="D16" s="2"/>
      <c r="E16" s="2"/>
      <c r="F16" s="3"/>
    </row>
    <row r="17" ht="27.75" customHeight="1">
      <c r="A17" s="15" t="s">
        <v>66</v>
      </c>
    </row>
    <row r="18" ht="27.75" customHeight="1">
      <c r="A18" s="15" t="s">
        <v>70</v>
      </c>
    </row>
    <row r="19" ht="27.75" customHeight="1">
      <c r="A19" s="15" t="s">
        <v>73</v>
      </c>
    </row>
    <row r="21" ht="19.5" customHeight="1">
      <c r="A21" s="6" t="s">
        <v>75</v>
      </c>
      <c r="B21" s="2"/>
      <c r="C21" s="2"/>
      <c r="D21" s="2"/>
      <c r="E21" s="2"/>
      <c r="F21" s="3"/>
    </row>
    <row r="22" ht="15.75" customHeight="1">
      <c r="A22" s="5" t="s">
        <v>6</v>
      </c>
      <c r="B22" s="11" t="s">
        <v>80</v>
      </c>
      <c r="C22" s="12"/>
      <c r="D22" s="12"/>
      <c r="E22" s="12"/>
      <c r="F22" s="13"/>
    </row>
    <row r="23" ht="24.0" customHeight="1">
      <c r="A23" s="22" t="s">
        <v>52</v>
      </c>
      <c r="B23" s="23" t="s">
        <v>94</v>
      </c>
    </row>
    <row r="24" ht="24.0" customHeight="1">
      <c r="A24" s="22" t="s">
        <v>77</v>
      </c>
      <c r="B24" s="23" t="s">
        <v>94</v>
      </c>
    </row>
    <row r="25" ht="24.0" customHeight="1">
      <c r="A25" s="22" t="s">
        <v>69</v>
      </c>
      <c r="B25" s="23" t="s">
        <v>99</v>
      </c>
    </row>
    <row r="26" ht="24.0" customHeight="1">
      <c r="A26" s="22" t="s">
        <v>64</v>
      </c>
      <c r="B26" s="23" t="s">
        <v>102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4:F4"/>
    <mergeCell ref="C5:F5"/>
    <mergeCell ref="C6:F6"/>
    <mergeCell ref="C7:F7"/>
    <mergeCell ref="C10:F10"/>
    <mergeCell ref="A19:F19"/>
    <mergeCell ref="A21:F21"/>
    <mergeCell ref="B22:F22"/>
    <mergeCell ref="B23:F23"/>
    <mergeCell ref="B24:F24"/>
    <mergeCell ref="B25:F25"/>
    <mergeCell ref="B26:F26"/>
    <mergeCell ref="C11:F11"/>
    <mergeCell ref="C12:F12"/>
    <mergeCell ref="C13:F13"/>
    <mergeCell ref="C14:F14"/>
    <mergeCell ref="A16:F16"/>
    <mergeCell ref="A17:F17"/>
    <mergeCell ref="A18:F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10.0"/>
    <col customWidth="1" min="4" max="5" width="12.0"/>
    <col customWidth="1" min="6" max="6" width="14.0"/>
    <col customWidth="1" min="7" max="10" width="12.0"/>
    <col customWidth="1" min="11" max="11" width="10.0"/>
    <col customWidth="1" min="12" max="12" width="12.0"/>
    <col customWidth="1" min="13" max="26" width="8.71"/>
  </cols>
  <sheetData>
    <row r="1" ht="27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5.75" customHeight="1">
      <c r="A2" s="4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31.5" customHeight="1">
      <c r="A5" s="14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ht="18.0" customHeight="1">
      <c r="A6" s="14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ht="18.0" customHeight="1">
      <c r="A7" s="14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ht="18.0" customHeight="1">
      <c r="A8" s="14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 ht="18.0" customHeight="1">
      <c r="A9" s="14" t="s">
        <v>44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ht="18.0" customHeight="1">
      <c r="A10" s="14" t="s">
        <v>53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ht="6.0" customHeight="1"/>
    <row r="12" ht="19.5" customHeight="1">
      <c r="A12" s="6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>
      <c r="A13" s="5" t="s">
        <v>19</v>
      </c>
      <c r="B13" s="5" t="s">
        <v>20</v>
      </c>
      <c r="C13" s="11" t="s">
        <v>21</v>
      </c>
      <c r="D13" s="12"/>
      <c r="E13" s="12"/>
      <c r="F13" s="12"/>
      <c r="G13" s="12"/>
      <c r="H13" s="12"/>
      <c r="I13" s="12"/>
      <c r="J13" s="12"/>
      <c r="K13" s="12"/>
      <c r="L13" s="13"/>
    </row>
    <row r="14" ht="30.0" customHeight="1">
      <c r="A14" s="15" t="s">
        <v>24</v>
      </c>
      <c r="B14" s="16">
        <f>'Global Assumptions'!$B$6</f>
        <v>258</v>
      </c>
      <c r="C14" s="17" t="s">
        <v>41</v>
      </c>
    </row>
    <row r="15" ht="4.5" customHeight="1"/>
    <row r="16" ht="24.0" customHeight="1">
      <c r="A16" s="20" t="s">
        <v>103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ht="30.0" customHeight="1">
      <c r="A17" s="15" t="s">
        <v>113</v>
      </c>
      <c r="B17" s="16">
        <v>3.0</v>
      </c>
      <c r="C17" s="17" t="s">
        <v>118</v>
      </c>
    </row>
    <row r="18" ht="30.0" customHeight="1">
      <c r="A18" s="15" t="s">
        <v>120</v>
      </c>
      <c r="B18" s="16">
        <v>6.0</v>
      </c>
      <c r="C18" s="17" t="s">
        <v>118</v>
      </c>
    </row>
    <row r="19" ht="4.5" customHeight="1"/>
    <row r="20" ht="24.0" customHeight="1">
      <c r="A20" s="20" t="s">
        <v>121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ht="30.0" customHeight="1">
      <c r="A21" s="15" t="s">
        <v>122</v>
      </c>
      <c r="B21" s="16">
        <v>3.0</v>
      </c>
      <c r="C21" s="17" t="s">
        <v>123</v>
      </c>
    </row>
    <row r="22" ht="30.0" customHeight="1">
      <c r="A22" s="15" t="s">
        <v>124</v>
      </c>
      <c r="B22" s="16">
        <v>2.0</v>
      </c>
      <c r="C22" s="17" t="s">
        <v>123</v>
      </c>
    </row>
    <row r="23" ht="30.0" customHeight="1">
      <c r="A23" s="15" t="s">
        <v>125</v>
      </c>
      <c r="B23" s="16">
        <v>3.0</v>
      </c>
      <c r="C23" s="17" t="s">
        <v>123</v>
      </c>
    </row>
    <row r="24" ht="4.5" customHeight="1"/>
    <row r="25" ht="24.0" customHeight="1">
      <c r="A25" s="20" t="s">
        <v>126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30.0" customHeight="1">
      <c r="A26" s="15" t="s">
        <v>127</v>
      </c>
      <c r="B26" s="16">
        <v>15.0</v>
      </c>
      <c r="C26" s="17" t="s">
        <v>128</v>
      </c>
    </row>
    <row r="27" ht="30.0" customHeight="1">
      <c r="A27" s="15" t="s">
        <v>129</v>
      </c>
      <c r="B27" s="16">
        <v>20.0</v>
      </c>
      <c r="C27" s="17" t="s">
        <v>130</v>
      </c>
    </row>
    <row r="28" ht="30.0" customHeight="1">
      <c r="A28" s="15" t="s">
        <v>131</v>
      </c>
      <c r="B28" s="16">
        <v>30.0</v>
      </c>
      <c r="C28" s="17" t="s">
        <v>132</v>
      </c>
    </row>
    <row r="29" ht="30.0" customHeight="1">
      <c r="A29" s="15" t="s">
        <v>133</v>
      </c>
      <c r="B29" s="16">
        <v>35.0</v>
      </c>
      <c r="C29" s="17" t="s">
        <v>134</v>
      </c>
    </row>
    <row r="30" ht="4.5" customHeight="1"/>
    <row r="31" ht="24.0" customHeight="1">
      <c r="A31" s="20" t="s">
        <v>135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ht="30.0" customHeight="1">
      <c r="A32" s="15" t="s">
        <v>136</v>
      </c>
      <c r="B32" s="16">
        <v>10.0</v>
      </c>
      <c r="C32" s="17" t="s">
        <v>137</v>
      </c>
    </row>
    <row r="33" ht="4.5" customHeight="1"/>
    <row r="34" ht="24.0" customHeight="1">
      <c r="A34" s="20" t="s">
        <v>138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ht="30.0" customHeight="1">
      <c r="A35" s="15" t="s">
        <v>139</v>
      </c>
      <c r="B35" s="16">
        <v>4.0</v>
      </c>
      <c r="C35" s="17" t="s">
        <v>140</v>
      </c>
    </row>
    <row r="36" ht="15.75" customHeight="1"/>
    <row r="37" ht="19.5" customHeight="1">
      <c r="A37" s="6" t="s">
        <v>141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</row>
    <row r="38" ht="15.75" customHeight="1">
      <c r="A38" s="24" t="s">
        <v>142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</row>
    <row r="39" ht="33.75" customHeight="1">
      <c r="A39" s="25" t="s">
        <v>108</v>
      </c>
      <c r="B39" s="25" t="s">
        <v>143</v>
      </c>
      <c r="C39" s="25" t="s">
        <v>144</v>
      </c>
      <c r="D39" s="25" t="s">
        <v>145</v>
      </c>
      <c r="E39" s="25" t="s">
        <v>146</v>
      </c>
      <c r="F39" s="25" t="s">
        <v>147</v>
      </c>
      <c r="G39" s="25" t="s">
        <v>148</v>
      </c>
      <c r="H39" s="25" t="s">
        <v>149</v>
      </c>
      <c r="I39" s="25" t="s">
        <v>150</v>
      </c>
      <c r="J39" s="25" t="s">
        <v>151</v>
      </c>
      <c r="K39" s="25" t="s">
        <v>116</v>
      </c>
      <c r="L39" s="25" t="s">
        <v>117</v>
      </c>
    </row>
    <row r="40" ht="15.75" customHeight="1">
      <c r="A40" s="26" t="s">
        <v>152</v>
      </c>
      <c r="B40" s="27" t="s">
        <v>153</v>
      </c>
      <c r="C40" s="27">
        <v>3.0</v>
      </c>
      <c r="D40" s="32">
        <v>40.0</v>
      </c>
      <c r="E40" s="27" t="s">
        <v>154</v>
      </c>
      <c r="F40" s="27">
        <v>1.0</v>
      </c>
      <c r="G40" s="29">
        <f t="shared" ref="G40:G49" si="1">IF($A40="","",IF($B40="Higher",$B$18,$B$17)+MAX(0,$C40-$B$21)*$B$22)</f>
        <v>3</v>
      </c>
      <c r="H40" s="29">
        <f t="shared" ref="H40:H49" si="2">IF($A40="","",IF($D40&lt;=25,$B$26,IF($D40&lt;=55,$B$27,IF($D40&lt;=85,$B$28,$B$29)))+MAX(0,$C40-$B$21)*$B$23)</f>
        <v>20</v>
      </c>
      <c r="I40" s="29">
        <f t="shared" ref="I40:I49" si="3">IF($A40="","",IF($E40="Y",$B$32,0))</f>
        <v>10</v>
      </c>
      <c r="J40" s="29">
        <f t="shared" ref="J40:J49" si="4">IF($A40="","",$F40*$B$35)</f>
        <v>4</v>
      </c>
      <c r="K40" s="29">
        <f t="shared" ref="K40:K49" si="5">IF($A40="","",$G40+$H40+$I40+$J40)</f>
        <v>37</v>
      </c>
      <c r="L40" s="31">
        <f>IF($A40="","",$K40*'Global Assumptions'!$B$6)</f>
        <v>9546</v>
      </c>
    </row>
    <row r="41" ht="15.75" customHeight="1">
      <c r="A41" s="26"/>
      <c r="B41" s="27"/>
      <c r="C41" s="27"/>
      <c r="D41" s="27"/>
      <c r="E41" s="27"/>
      <c r="F41" s="27"/>
      <c r="G41" s="29" t="str">
        <f t="shared" si="1"/>
        <v/>
      </c>
      <c r="H41" s="29" t="str">
        <f t="shared" si="2"/>
        <v/>
      </c>
      <c r="I41" s="29" t="str">
        <f t="shared" si="3"/>
        <v/>
      </c>
      <c r="J41" s="29" t="str">
        <f t="shared" si="4"/>
        <v/>
      </c>
      <c r="K41" s="29" t="str">
        <f t="shared" si="5"/>
        <v/>
      </c>
      <c r="L41" s="31" t="str">
        <f>IF($A41="","",$K41*'Global Assumptions'!$B$6)</f>
        <v/>
      </c>
    </row>
    <row r="42" ht="15.75" customHeight="1">
      <c r="A42" s="26"/>
      <c r="B42" s="27"/>
      <c r="C42" s="27"/>
      <c r="D42" s="27"/>
      <c r="E42" s="27"/>
      <c r="F42" s="27"/>
      <c r="G42" s="29" t="str">
        <f t="shared" si="1"/>
        <v/>
      </c>
      <c r="H42" s="29" t="str">
        <f t="shared" si="2"/>
        <v/>
      </c>
      <c r="I42" s="29" t="str">
        <f t="shared" si="3"/>
        <v/>
      </c>
      <c r="J42" s="29" t="str">
        <f t="shared" si="4"/>
        <v/>
      </c>
      <c r="K42" s="29" t="str">
        <f t="shared" si="5"/>
        <v/>
      </c>
      <c r="L42" s="31" t="str">
        <f>IF($A42="","",$K42*'Global Assumptions'!$B$6)</f>
        <v/>
      </c>
    </row>
    <row r="43" ht="15.75" customHeight="1">
      <c r="A43" s="26"/>
      <c r="B43" s="27"/>
      <c r="C43" s="27"/>
      <c r="D43" s="27"/>
      <c r="E43" s="27"/>
      <c r="F43" s="27"/>
      <c r="G43" s="29" t="str">
        <f t="shared" si="1"/>
        <v/>
      </c>
      <c r="H43" s="29" t="str">
        <f t="shared" si="2"/>
        <v/>
      </c>
      <c r="I43" s="29" t="str">
        <f t="shared" si="3"/>
        <v/>
      </c>
      <c r="J43" s="29" t="str">
        <f t="shared" si="4"/>
        <v/>
      </c>
      <c r="K43" s="29" t="str">
        <f t="shared" si="5"/>
        <v/>
      </c>
      <c r="L43" s="31" t="str">
        <f>IF($A43="","",$K43*'Global Assumptions'!$B$6)</f>
        <v/>
      </c>
    </row>
    <row r="44" ht="15.75" customHeight="1">
      <c r="A44" s="26"/>
      <c r="B44" s="27"/>
      <c r="C44" s="27"/>
      <c r="D44" s="27"/>
      <c r="E44" s="27"/>
      <c r="F44" s="27"/>
      <c r="G44" s="29" t="str">
        <f t="shared" si="1"/>
        <v/>
      </c>
      <c r="H44" s="29" t="str">
        <f t="shared" si="2"/>
        <v/>
      </c>
      <c r="I44" s="29" t="str">
        <f t="shared" si="3"/>
        <v/>
      </c>
      <c r="J44" s="29" t="str">
        <f t="shared" si="4"/>
        <v/>
      </c>
      <c r="K44" s="29" t="str">
        <f t="shared" si="5"/>
        <v/>
      </c>
      <c r="L44" s="31" t="str">
        <f>IF($A44="","",$K44*'Global Assumptions'!$B$6)</f>
        <v/>
      </c>
    </row>
    <row r="45" ht="15.75" customHeight="1">
      <c r="A45" s="26"/>
      <c r="B45" s="27"/>
      <c r="C45" s="27"/>
      <c r="D45" s="27"/>
      <c r="E45" s="27"/>
      <c r="F45" s="27"/>
      <c r="G45" s="29" t="str">
        <f t="shared" si="1"/>
        <v/>
      </c>
      <c r="H45" s="29" t="str">
        <f t="shared" si="2"/>
        <v/>
      </c>
      <c r="I45" s="29" t="str">
        <f t="shared" si="3"/>
        <v/>
      </c>
      <c r="J45" s="29" t="str">
        <f t="shared" si="4"/>
        <v/>
      </c>
      <c r="K45" s="29" t="str">
        <f t="shared" si="5"/>
        <v/>
      </c>
      <c r="L45" s="31" t="str">
        <f>IF($A45="","",$K45*'Global Assumptions'!$B$6)</f>
        <v/>
      </c>
    </row>
    <row r="46" ht="15.75" customHeight="1">
      <c r="A46" s="26"/>
      <c r="B46" s="27"/>
      <c r="C46" s="27"/>
      <c r="D46" s="27"/>
      <c r="E46" s="27"/>
      <c r="F46" s="27"/>
      <c r="G46" s="29" t="str">
        <f t="shared" si="1"/>
        <v/>
      </c>
      <c r="H46" s="29" t="str">
        <f t="shared" si="2"/>
        <v/>
      </c>
      <c r="I46" s="29" t="str">
        <f t="shared" si="3"/>
        <v/>
      </c>
      <c r="J46" s="29" t="str">
        <f t="shared" si="4"/>
        <v/>
      </c>
      <c r="K46" s="29" t="str">
        <f t="shared" si="5"/>
        <v/>
      </c>
      <c r="L46" s="31" t="str">
        <f>IF($A46="","",$K46*'Global Assumptions'!$B$6)</f>
        <v/>
      </c>
    </row>
    <row r="47" ht="15.75" customHeight="1">
      <c r="A47" s="26"/>
      <c r="B47" s="27"/>
      <c r="C47" s="27"/>
      <c r="D47" s="27"/>
      <c r="E47" s="27"/>
      <c r="F47" s="27"/>
      <c r="G47" s="29" t="str">
        <f t="shared" si="1"/>
        <v/>
      </c>
      <c r="H47" s="29" t="str">
        <f t="shared" si="2"/>
        <v/>
      </c>
      <c r="I47" s="29" t="str">
        <f t="shared" si="3"/>
        <v/>
      </c>
      <c r="J47" s="29" t="str">
        <f t="shared" si="4"/>
        <v/>
      </c>
      <c r="K47" s="29" t="str">
        <f t="shared" si="5"/>
        <v/>
      </c>
      <c r="L47" s="31" t="str">
        <f>IF($A47="","",$K47*'Global Assumptions'!$B$6)</f>
        <v/>
      </c>
    </row>
    <row r="48" ht="15.75" customHeight="1">
      <c r="A48" s="26"/>
      <c r="B48" s="27"/>
      <c r="C48" s="27"/>
      <c r="D48" s="27"/>
      <c r="E48" s="27"/>
      <c r="F48" s="27"/>
      <c r="G48" s="29" t="str">
        <f t="shared" si="1"/>
        <v/>
      </c>
      <c r="H48" s="29" t="str">
        <f t="shared" si="2"/>
        <v/>
      </c>
      <c r="I48" s="29" t="str">
        <f t="shared" si="3"/>
        <v/>
      </c>
      <c r="J48" s="29" t="str">
        <f t="shared" si="4"/>
        <v/>
      </c>
      <c r="K48" s="29" t="str">
        <f t="shared" si="5"/>
        <v/>
      </c>
      <c r="L48" s="31" t="str">
        <f>IF($A48="","",$K48*'Global Assumptions'!$B$6)</f>
        <v/>
      </c>
    </row>
    <row r="49" ht="15.75" customHeight="1">
      <c r="A49" s="26"/>
      <c r="B49" s="27"/>
      <c r="C49" s="27"/>
      <c r="D49" s="27"/>
      <c r="E49" s="27"/>
      <c r="F49" s="27"/>
      <c r="G49" s="29" t="str">
        <f t="shared" si="1"/>
        <v/>
      </c>
      <c r="H49" s="29" t="str">
        <f t="shared" si="2"/>
        <v/>
      </c>
      <c r="I49" s="29" t="str">
        <f t="shared" si="3"/>
        <v/>
      </c>
      <c r="J49" s="29" t="str">
        <f t="shared" si="4"/>
        <v/>
      </c>
      <c r="K49" s="29" t="str">
        <f t="shared" si="5"/>
        <v/>
      </c>
      <c r="L49" s="31" t="str">
        <f>IF($A49="","",$K49*'Global Assumptions'!$B$6)</f>
        <v/>
      </c>
    </row>
    <row r="50" ht="15.75" customHeight="1">
      <c r="A50" s="33" t="s">
        <v>159</v>
      </c>
      <c r="B50" s="36"/>
      <c r="C50" s="36"/>
      <c r="D50" s="36"/>
      <c r="E50" s="36"/>
      <c r="F50" s="36"/>
      <c r="G50" s="37">
        <f t="shared" ref="G50:L50" si="6">SUM(G40:G49)</f>
        <v>3</v>
      </c>
      <c r="H50" s="37">
        <f t="shared" si="6"/>
        <v>20</v>
      </c>
      <c r="I50" s="37">
        <f t="shared" si="6"/>
        <v>10</v>
      </c>
      <c r="J50" s="37">
        <f t="shared" si="6"/>
        <v>4</v>
      </c>
      <c r="K50" s="37">
        <f t="shared" si="6"/>
        <v>37</v>
      </c>
      <c r="L50" s="38">
        <f t="shared" si="6"/>
        <v>9546</v>
      </c>
    </row>
    <row r="51" ht="15.75" customHeight="1"/>
    <row r="52" ht="18.0" customHeight="1">
      <c r="A52" s="6" t="s">
        <v>170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</row>
    <row r="53" ht="15.75" customHeight="1">
      <c r="A53" s="39" t="s">
        <v>173</v>
      </c>
      <c r="B53" s="40">
        <f>$K$50</f>
        <v>37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ht="15.75" customHeight="1">
      <c r="A54" s="39" t="s">
        <v>174</v>
      </c>
      <c r="B54" s="40">
        <f>IF($B$53=0,0,$B$53*'Global Assumptions'!$B$7)</f>
        <v>12.95</v>
      </c>
      <c r="C54" s="41"/>
      <c r="D54" s="2"/>
      <c r="E54" s="2"/>
      <c r="F54" s="2"/>
      <c r="G54" s="2"/>
      <c r="H54" s="2"/>
      <c r="I54" s="2"/>
      <c r="J54" s="2"/>
      <c r="K54" s="2"/>
      <c r="L54" s="3"/>
    </row>
    <row r="55" ht="15.75" customHeight="1">
      <c r="A55" s="39" t="s">
        <v>176</v>
      </c>
      <c r="B55" s="27" t="s">
        <v>177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ht="15.75" customHeight="1">
      <c r="A56" s="39" t="s">
        <v>178</v>
      </c>
      <c r="B56" s="40">
        <f>($B$53+$B$54)*IF($B$55="5-7 weeks",'Global Assumptions'!$B$11,IF($B$55="3-4 weeks",'Global Assumptions'!$B$12,IF($B$55="&lt;3 weeks",'Global Assumptions'!$B$13,'Global Assumptions'!$B$10)))</f>
        <v>49.95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ht="15.75" customHeight="1">
      <c r="A57" s="39" t="s">
        <v>180</v>
      </c>
      <c r="B57" s="42">
        <f>$B$56*'Global Assumptions'!$B$6</f>
        <v>12887.1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ht="15.75" customHeight="1"/>
    <row r="59" ht="30.0" customHeight="1">
      <c r="A59" s="43" t="s">
        <v>206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L1"/>
    <mergeCell ref="A2:L2"/>
    <mergeCell ref="A4:L4"/>
    <mergeCell ref="A5:L5"/>
    <mergeCell ref="A6:L6"/>
    <mergeCell ref="A7:L7"/>
    <mergeCell ref="A8:L8"/>
    <mergeCell ref="A9:L9"/>
    <mergeCell ref="A10:L10"/>
    <mergeCell ref="A12:L12"/>
    <mergeCell ref="C13:L13"/>
    <mergeCell ref="C14:L14"/>
    <mergeCell ref="C17:L17"/>
    <mergeCell ref="C18:L18"/>
    <mergeCell ref="C32:L32"/>
    <mergeCell ref="C35:L35"/>
    <mergeCell ref="A37:L37"/>
    <mergeCell ref="A38:L38"/>
    <mergeCell ref="A52:L52"/>
    <mergeCell ref="C54:L54"/>
    <mergeCell ref="A59:L59"/>
    <mergeCell ref="C21:L21"/>
    <mergeCell ref="C22:L22"/>
    <mergeCell ref="C23:L23"/>
    <mergeCell ref="C26:L26"/>
    <mergeCell ref="C27:L27"/>
    <mergeCell ref="C28:L28"/>
    <mergeCell ref="C29:L29"/>
  </mergeCells>
  <dataValidations>
    <dataValidation type="list" allowBlank="1" sqref="E40:E49">
      <formula1>"Y,N"</formula1>
    </dataValidation>
    <dataValidation type="list" allowBlank="1" sqref="B55">
      <formula1>"Standard (7+ weeks),5-7 weeks,3-4 weeks,&lt;3 weeks"</formula1>
    </dataValidation>
    <dataValidation type="list" allowBlank="1" sqref="B40:B49">
      <formula1>"Standard,Higher"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3" width="14.0"/>
    <col customWidth="1" min="4" max="7" width="12.0"/>
    <col customWidth="1" min="8" max="8" width="10.0"/>
    <col customWidth="1" min="9" max="9" width="12.0"/>
    <col customWidth="1" min="10" max="26" width="8.71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3"/>
    </row>
    <row r="2" ht="45.75" customHeight="1">
      <c r="A2" s="4" t="s">
        <v>5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3"/>
    </row>
    <row r="5" ht="18.0" customHeight="1">
      <c r="A5" s="9" t="s">
        <v>14</v>
      </c>
      <c r="B5" s="2"/>
      <c r="C5" s="2"/>
      <c r="D5" s="2"/>
      <c r="E5" s="2"/>
      <c r="F5" s="2"/>
      <c r="G5" s="2"/>
      <c r="H5" s="2"/>
      <c r="I5" s="3"/>
    </row>
    <row r="6" ht="6.0" customHeight="1"/>
    <row r="7" ht="19.5" customHeight="1">
      <c r="A7" s="6" t="s">
        <v>18</v>
      </c>
      <c r="B7" s="2"/>
      <c r="C7" s="2"/>
      <c r="D7" s="2"/>
      <c r="E7" s="2"/>
      <c r="F7" s="2"/>
      <c r="G7" s="2"/>
      <c r="H7" s="2"/>
      <c r="I7" s="3"/>
    </row>
    <row r="8">
      <c r="A8" s="5" t="s">
        <v>19</v>
      </c>
      <c r="B8" s="5" t="s">
        <v>20</v>
      </c>
      <c r="C8" s="11" t="s">
        <v>21</v>
      </c>
      <c r="D8" s="12"/>
      <c r="E8" s="12"/>
      <c r="F8" s="12"/>
      <c r="G8" s="12"/>
      <c r="H8" s="12"/>
      <c r="I8" s="13"/>
    </row>
    <row r="9" ht="30.0" customHeight="1">
      <c r="A9" s="15" t="s">
        <v>24</v>
      </c>
      <c r="B9" s="16">
        <f>'Global Assumptions'!$B$6</f>
        <v>258</v>
      </c>
      <c r="C9" s="17" t="s">
        <v>41</v>
      </c>
    </row>
    <row r="10" ht="4.5" customHeight="1"/>
    <row r="11" ht="24.0" customHeight="1">
      <c r="A11" s="20" t="s">
        <v>47</v>
      </c>
      <c r="B11" s="21"/>
      <c r="C11" s="21"/>
      <c r="D11" s="21"/>
      <c r="E11" s="21"/>
      <c r="F11" s="21"/>
      <c r="G11" s="21"/>
      <c r="H11" s="21"/>
      <c r="I11" s="21"/>
    </row>
    <row r="12" ht="30.0" customHeight="1">
      <c r="A12" s="15" t="s">
        <v>60</v>
      </c>
      <c r="B12" s="16">
        <v>40.0</v>
      </c>
      <c r="C12" s="17" t="s">
        <v>62</v>
      </c>
    </row>
    <row r="13" ht="30.0" customHeight="1">
      <c r="A13" s="15" t="s">
        <v>63</v>
      </c>
      <c r="B13" s="16">
        <v>85.0</v>
      </c>
      <c r="C13" s="17" t="s">
        <v>62</v>
      </c>
    </row>
    <row r="14" ht="30.0" customHeight="1">
      <c r="A14" s="15" t="s">
        <v>67</v>
      </c>
      <c r="B14" s="16">
        <v>200.0</v>
      </c>
      <c r="C14" s="17" t="s">
        <v>68</v>
      </c>
    </row>
    <row r="15" ht="4.5" customHeight="1"/>
    <row r="16" ht="24.0" customHeight="1">
      <c r="A16" s="20" t="s">
        <v>72</v>
      </c>
      <c r="B16" s="21"/>
      <c r="C16" s="21"/>
      <c r="D16" s="21"/>
      <c r="E16" s="21"/>
      <c r="F16" s="21"/>
      <c r="G16" s="21"/>
      <c r="H16" s="21"/>
      <c r="I16" s="21"/>
    </row>
    <row r="17" ht="30.0" customHeight="1">
      <c r="A17" s="15" t="s">
        <v>76</v>
      </c>
      <c r="B17" s="16">
        <v>10.0</v>
      </c>
      <c r="C17" s="17" t="s">
        <v>62</v>
      </c>
    </row>
    <row r="18" ht="30.0" customHeight="1">
      <c r="A18" s="15" t="s">
        <v>79</v>
      </c>
      <c r="B18" s="16">
        <v>20.0</v>
      </c>
      <c r="C18" s="17" t="s">
        <v>62</v>
      </c>
    </row>
    <row r="19" ht="4.5" customHeight="1"/>
    <row r="20" ht="24.0" customHeight="1">
      <c r="A20" s="20" t="s">
        <v>83</v>
      </c>
      <c r="B20" s="21"/>
      <c r="C20" s="21"/>
      <c r="D20" s="21"/>
      <c r="E20" s="21"/>
      <c r="F20" s="21"/>
      <c r="G20" s="21"/>
      <c r="H20" s="21"/>
      <c r="I20" s="21"/>
    </row>
    <row r="21" ht="30.0" customHeight="1">
      <c r="A21" s="15" t="s">
        <v>85</v>
      </c>
      <c r="B21" s="16">
        <v>1.5</v>
      </c>
      <c r="C21" s="17" t="s">
        <v>86</v>
      </c>
    </row>
    <row r="22" ht="30.0" customHeight="1">
      <c r="A22" s="15" t="s">
        <v>88</v>
      </c>
      <c r="B22" s="16">
        <v>1.25</v>
      </c>
      <c r="C22" s="17" t="s">
        <v>90</v>
      </c>
    </row>
    <row r="23" ht="15.75" customHeight="1"/>
    <row r="24" ht="19.5" customHeight="1">
      <c r="A24" s="6" t="s">
        <v>93</v>
      </c>
      <c r="B24" s="2"/>
      <c r="C24" s="2"/>
      <c r="D24" s="2"/>
      <c r="E24" s="2"/>
      <c r="F24" s="2"/>
      <c r="G24" s="2"/>
      <c r="H24" s="2"/>
      <c r="I24" s="3"/>
    </row>
    <row r="25" ht="15.75" customHeight="1">
      <c r="A25" s="24" t="s">
        <v>100</v>
      </c>
      <c r="B25" s="2"/>
      <c r="C25" s="2"/>
      <c r="D25" s="2"/>
      <c r="E25" s="2"/>
      <c r="F25" s="2"/>
      <c r="G25" s="2"/>
      <c r="H25" s="2"/>
      <c r="I25" s="3"/>
    </row>
    <row r="26" ht="33.75" customHeight="1">
      <c r="A26" s="25" t="s">
        <v>108</v>
      </c>
      <c r="B26" s="25" t="s">
        <v>109</v>
      </c>
      <c r="C26" s="25" t="s">
        <v>110</v>
      </c>
      <c r="D26" s="25" t="s">
        <v>111</v>
      </c>
      <c r="E26" s="25" t="s">
        <v>112</v>
      </c>
      <c r="F26" s="25" t="s">
        <v>114</v>
      </c>
      <c r="G26" s="25" t="s">
        <v>115</v>
      </c>
      <c r="H26" s="25" t="s">
        <v>116</v>
      </c>
      <c r="I26" s="25" t="s">
        <v>117</v>
      </c>
    </row>
    <row r="27" ht="15.75" customHeight="1">
      <c r="A27" s="26" t="s">
        <v>119</v>
      </c>
      <c r="B27" s="27">
        <v>60.0</v>
      </c>
      <c r="C27" s="27">
        <v>3.0</v>
      </c>
      <c r="D27" s="28" t="str">
        <f t="shared" ref="D27:D36" si="1">IF($A27="","",IF($B27&lt;=$B$12,"Low",IF($B27&lt;=$B$13,"Mid","High")))</f>
        <v>Mid</v>
      </c>
      <c r="E27" s="29">
        <f t="shared" ref="E27:E36" si="2">IF($A27="","",IF($C27&lt;5,$B$17,$B$18))</f>
        <v>10</v>
      </c>
      <c r="F27" s="29">
        <f t="shared" ref="F27:F36" si="3">IF($A27="","",IF($D27="Low",$E27,IF($D27="Mid",$E27*$B$21,$E27*$B$21*$B$22)))</f>
        <v>15</v>
      </c>
      <c r="G27" s="30"/>
      <c r="H27" s="29">
        <f t="shared" ref="H27:H36" si="4">IF($A27="","",$F27)</f>
        <v>15</v>
      </c>
      <c r="I27" s="31">
        <f>IF($A27="","",$H27*'Global Assumptions'!$B$6)</f>
        <v>3870</v>
      </c>
    </row>
    <row r="28" ht="15.75" customHeight="1">
      <c r="A28" s="26"/>
      <c r="B28" s="27"/>
      <c r="C28" s="27"/>
      <c r="D28" s="28" t="str">
        <f t="shared" si="1"/>
        <v/>
      </c>
      <c r="E28" s="29" t="str">
        <f t="shared" si="2"/>
        <v/>
      </c>
      <c r="F28" s="29" t="str">
        <f t="shared" si="3"/>
        <v/>
      </c>
      <c r="G28" s="30"/>
      <c r="H28" s="29" t="str">
        <f t="shared" si="4"/>
        <v/>
      </c>
      <c r="I28" s="31" t="str">
        <f>IF($A28="","",$H28*'Global Assumptions'!$B$6)</f>
        <v/>
      </c>
    </row>
    <row r="29" ht="15.75" customHeight="1">
      <c r="A29" s="26"/>
      <c r="B29" s="27"/>
      <c r="C29" s="27"/>
      <c r="D29" s="28" t="str">
        <f t="shared" si="1"/>
        <v/>
      </c>
      <c r="E29" s="29" t="str">
        <f t="shared" si="2"/>
        <v/>
      </c>
      <c r="F29" s="29" t="str">
        <f t="shared" si="3"/>
        <v/>
      </c>
      <c r="G29" s="30"/>
      <c r="H29" s="29" t="str">
        <f t="shared" si="4"/>
        <v/>
      </c>
      <c r="I29" s="31" t="str">
        <f>IF($A29="","",$H29*'Global Assumptions'!$B$6)</f>
        <v/>
      </c>
    </row>
    <row r="30" ht="15.75" customHeight="1">
      <c r="A30" s="26"/>
      <c r="B30" s="27"/>
      <c r="C30" s="27"/>
      <c r="D30" s="28" t="str">
        <f t="shared" si="1"/>
        <v/>
      </c>
      <c r="E30" s="29" t="str">
        <f t="shared" si="2"/>
        <v/>
      </c>
      <c r="F30" s="29" t="str">
        <f t="shared" si="3"/>
        <v/>
      </c>
      <c r="G30" s="30"/>
      <c r="H30" s="29" t="str">
        <f t="shared" si="4"/>
        <v/>
      </c>
      <c r="I30" s="31" t="str">
        <f>IF($A30="","",$H30*'Global Assumptions'!$B$6)</f>
        <v/>
      </c>
    </row>
    <row r="31" ht="15.75" customHeight="1">
      <c r="A31" s="26"/>
      <c r="B31" s="27"/>
      <c r="C31" s="27"/>
      <c r="D31" s="28" t="str">
        <f t="shared" si="1"/>
        <v/>
      </c>
      <c r="E31" s="29" t="str">
        <f t="shared" si="2"/>
        <v/>
      </c>
      <c r="F31" s="29" t="str">
        <f t="shared" si="3"/>
        <v/>
      </c>
      <c r="G31" s="30"/>
      <c r="H31" s="29" t="str">
        <f t="shared" si="4"/>
        <v/>
      </c>
      <c r="I31" s="31" t="str">
        <f>IF($A31="","",$H31*'Global Assumptions'!$B$6)</f>
        <v/>
      </c>
    </row>
    <row r="32" ht="15.75" customHeight="1">
      <c r="A32" s="26"/>
      <c r="B32" s="27"/>
      <c r="C32" s="27"/>
      <c r="D32" s="28" t="str">
        <f t="shared" si="1"/>
        <v/>
      </c>
      <c r="E32" s="29" t="str">
        <f t="shared" si="2"/>
        <v/>
      </c>
      <c r="F32" s="29" t="str">
        <f t="shared" si="3"/>
        <v/>
      </c>
      <c r="G32" s="30"/>
      <c r="H32" s="29" t="str">
        <f t="shared" si="4"/>
        <v/>
      </c>
      <c r="I32" s="31" t="str">
        <f>IF($A32="","",$H32*'Global Assumptions'!$B$6)</f>
        <v/>
      </c>
    </row>
    <row r="33" ht="15.75" customHeight="1">
      <c r="A33" s="26"/>
      <c r="B33" s="27"/>
      <c r="C33" s="27"/>
      <c r="D33" s="28" t="str">
        <f t="shared" si="1"/>
        <v/>
      </c>
      <c r="E33" s="29" t="str">
        <f t="shared" si="2"/>
        <v/>
      </c>
      <c r="F33" s="29" t="str">
        <f t="shared" si="3"/>
        <v/>
      </c>
      <c r="G33" s="30"/>
      <c r="H33" s="29" t="str">
        <f t="shared" si="4"/>
        <v/>
      </c>
      <c r="I33" s="31" t="str">
        <f>IF($A33="","",$H33*'Global Assumptions'!$B$6)</f>
        <v/>
      </c>
    </row>
    <row r="34" ht="15.75" customHeight="1">
      <c r="A34" s="26"/>
      <c r="B34" s="27"/>
      <c r="C34" s="27"/>
      <c r="D34" s="28" t="str">
        <f t="shared" si="1"/>
        <v/>
      </c>
      <c r="E34" s="29" t="str">
        <f t="shared" si="2"/>
        <v/>
      </c>
      <c r="F34" s="29" t="str">
        <f t="shared" si="3"/>
        <v/>
      </c>
      <c r="G34" s="30"/>
      <c r="H34" s="29" t="str">
        <f t="shared" si="4"/>
        <v/>
      </c>
      <c r="I34" s="31" t="str">
        <f>IF($A34="","",$H34*'Global Assumptions'!$B$6)</f>
        <v/>
      </c>
    </row>
    <row r="35" ht="15.75" customHeight="1">
      <c r="A35" s="26"/>
      <c r="B35" s="27"/>
      <c r="C35" s="27"/>
      <c r="D35" s="28" t="str">
        <f t="shared" si="1"/>
        <v/>
      </c>
      <c r="E35" s="29" t="str">
        <f t="shared" si="2"/>
        <v/>
      </c>
      <c r="F35" s="29" t="str">
        <f t="shared" si="3"/>
        <v/>
      </c>
      <c r="G35" s="30"/>
      <c r="H35" s="29" t="str">
        <f t="shared" si="4"/>
        <v/>
      </c>
      <c r="I35" s="31" t="str">
        <f>IF($A35="","",$H35*'Global Assumptions'!$B$6)</f>
        <v/>
      </c>
    </row>
    <row r="36" ht="15.75" customHeight="1">
      <c r="A36" s="26"/>
      <c r="B36" s="27"/>
      <c r="C36" s="27"/>
      <c r="D36" s="28" t="str">
        <f t="shared" si="1"/>
        <v/>
      </c>
      <c r="E36" s="29" t="str">
        <f t="shared" si="2"/>
        <v/>
      </c>
      <c r="F36" s="29" t="str">
        <f t="shared" si="3"/>
        <v/>
      </c>
      <c r="G36" s="30"/>
      <c r="H36" s="29" t="str">
        <f t="shared" si="4"/>
        <v/>
      </c>
      <c r="I36" s="31" t="str">
        <f>IF($A36="","",$H36*'Global Assumptions'!$B$6)</f>
        <v/>
      </c>
    </row>
    <row r="37" ht="15.75" customHeight="1">
      <c r="A37" s="33" t="s">
        <v>159</v>
      </c>
      <c r="B37" s="35">
        <f t="shared" ref="B37:C37" si="5">SUM(B27:B36)</f>
        <v>60</v>
      </c>
      <c r="C37" s="35">
        <f t="shared" si="5"/>
        <v>3</v>
      </c>
      <c r="D37" s="36"/>
      <c r="E37" s="36"/>
      <c r="F37" s="36"/>
      <c r="G37" s="36"/>
      <c r="H37" s="37">
        <f t="shared" ref="H37:I37" si="6">SUM(H27:H36)</f>
        <v>15</v>
      </c>
      <c r="I37" s="38">
        <f t="shared" si="6"/>
        <v>3870</v>
      </c>
    </row>
    <row r="38" ht="15.75" customHeight="1"/>
    <row r="39" ht="18.0" customHeight="1">
      <c r="A39" s="6" t="s">
        <v>170</v>
      </c>
      <c r="B39" s="2"/>
      <c r="C39" s="2"/>
      <c r="D39" s="2"/>
      <c r="E39" s="2"/>
      <c r="F39" s="2"/>
      <c r="G39" s="2"/>
      <c r="H39" s="2"/>
      <c r="I39" s="3"/>
    </row>
    <row r="40" ht="15.75" customHeight="1">
      <c r="A40" s="39" t="s">
        <v>173</v>
      </c>
      <c r="B40" s="40">
        <f>$H$37</f>
        <v>15</v>
      </c>
      <c r="C40" s="21"/>
      <c r="D40" s="21"/>
      <c r="E40" s="21"/>
      <c r="F40" s="21"/>
      <c r="G40" s="21"/>
      <c r="H40" s="21"/>
      <c r="I40" s="21"/>
    </row>
    <row r="41" ht="15.75" customHeight="1">
      <c r="A41" s="39" t="s">
        <v>174</v>
      </c>
      <c r="B41" s="40">
        <f>IF($B$40=0,0,$B$40*'Global Assumptions'!$B$7)</f>
        <v>5.25</v>
      </c>
      <c r="C41" s="41"/>
      <c r="D41" s="2"/>
      <c r="E41" s="2"/>
      <c r="F41" s="2"/>
      <c r="G41" s="2"/>
      <c r="H41" s="2"/>
      <c r="I41" s="3"/>
    </row>
    <row r="42" ht="15.75" customHeight="1">
      <c r="A42" s="39" t="s">
        <v>176</v>
      </c>
      <c r="B42" s="27" t="s">
        <v>177</v>
      </c>
      <c r="C42" s="21"/>
      <c r="D42" s="21"/>
      <c r="E42" s="21"/>
      <c r="F42" s="21"/>
      <c r="G42" s="21"/>
      <c r="H42" s="21"/>
      <c r="I42" s="21"/>
    </row>
    <row r="43" ht="15.75" customHeight="1">
      <c r="A43" s="39" t="s">
        <v>178</v>
      </c>
      <c r="B43" s="40">
        <f>($B$40+$B$41)*IF($B$42="5-7 weeks",'Global Assumptions'!$B$11,IF($B$42="3-4 weeks",'Global Assumptions'!$B$12,IF($B$42="&lt;3 weeks",'Global Assumptions'!$B$13,'Global Assumptions'!$B$10)))</f>
        <v>20.25</v>
      </c>
      <c r="C43" s="21"/>
      <c r="D43" s="21"/>
      <c r="E43" s="21"/>
      <c r="F43" s="21"/>
      <c r="G43" s="21"/>
      <c r="H43" s="21"/>
      <c r="I43" s="21"/>
    </row>
    <row r="44" ht="15.75" customHeight="1">
      <c r="A44" s="39" t="s">
        <v>180</v>
      </c>
      <c r="B44" s="42">
        <f>$B$43*'Global Assumptions'!$B$6</f>
        <v>5224.5</v>
      </c>
      <c r="C44" s="21"/>
      <c r="D44" s="21"/>
      <c r="E44" s="21"/>
      <c r="F44" s="21"/>
      <c r="G44" s="21"/>
      <c r="H44" s="21"/>
      <c r="I44" s="21"/>
    </row>
    <row r="45" ht="15.75" customHeight="1"/>
    <row r="46" ht="30.0" customHeight="1">
      <c r="A46" s="43" t="s">
        <v>185</v>
      </c>
      <c r="B46" s="2"/>
      <c r="C46" s="2"/>
      <c r="D46" s="2"/>
      <c r="E46" s="2"/>
      <c r="F46" s="2"/>
      <c r="G46" s="2"/>
      <c r="H46" s="2"/>
      <c r="I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A2:I2"/>
    <mergeCell ref="A4:I4"/>
    <mergeCell ref="A5:I5"/>
    <mergeCell ref="A7:I7"/>
    <mergeCell ref="C8:I8"/>
    <mergeCell ref="C9:I9"/>
    <mergeCell ref="A24:I24"/>
    <mergeCell ref="A25:I25"/>
    <mergeCell ref="A39:I39"/>
    <mergeCell ref="C41:I41"/>
    <mergeCell ref="A46:I46"/>
    <mergeCell ref="C12:I12"/>
    <mergeCell ref="C13:I13"/>
    <mergeCell ref="C14:I14"/>
    <mergeCell ref="C17:I17"/>
    <mergeCell ref="C18:I18"/>
    <mergeCell ref="C21:I21"/>
    <mergeCell ref="C22:I22"/>
  </mergeCells>
  <dataValidations>
    <dataValidation type="list" allowBlank="1" sqref="B42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5" width="12.0"/>
    <col customWidth="1" min="6" max="6" width="10.0"/>
    <col customWidth="1" min="7" max="7" width="12.0"/>
    <col customWidth="1" min="8" max="26" width="8.71"/>
  </cols>
  <sheetData>
    <row r="1" ht="27.75" customHeight="1">
      <c r="A1" s="1" t="s">
        <v>155</v>
      </c>
      <c r="B1" s="2"/>
      <c r="C1" s="2"/>
      <c r="D1" s="2"/>
      <c r="E1" s="2"/>
      <c r="F1" s="2"/>
      <c r="G1" s="3"/>
    </row>
    <row r="2" ht="45.75" customHeight="1">
      <c r="A2" s="4" t="s">
        <v>156</v>
      </c>
      <c r="B2" s="2"/>
      <c r="C2" s="2"/>
      <c r="D2" s="2"/>
      <c r="E2" s="2"/>
      <c r="F2" s="2"/>
      <c r="G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3"/>
    </row>
    <row r="5" ht="18.0" customHeight="1">
      <c r="A5" s="14" t="s">
        <v>157</v>
      </c>
      <c r="B5" s="2"/>
      <c r="C5" s="2"/>
      <c r="D5" s="2"/>
      <c r="E5" s="2"/>
      <c r="F5" s="2"/>
      <c r="G5" s="3"/>
    </row>
    <row r="6" ht="18.0" customHeight="1">
      <c r="A6" s="9" t="s">
        <v>14</v>
      </c>
      <c r="B6" s="2"/>
      <c r="C6" s="2"/>
      <c r="D6" s="2"/>
      <c r="E6" s="2"/>
      <c r="F6" s="2"/>
      <c r="G6" s="3"/>
    </row>
    <row r="7" ht="6.0" customHeight="1"/>
    <row r="8" ht="19.5" customHeight="1">
      <c r="A8" s="6" t="s">
        <v>18</v>
      </c>
      <c r="B8" s="2"/>
      <c r="C8" s="2"/>
      <c r="D8" s="2"/>
      <c r="E8" s="2"/>
      <c r="F8" s="2"/>
      <c r="G8" s="3"/>
    </row>
    <row r="9">
      <c r="A9" s="5" t="s">
        <v>19</v>
      </c>
      <c r="B9" s="5" t="s">
        <v>20</v>
      </c>
      <c r="C9" s="11" t="s">
        <v>21</v>
      </c>
      <c r="D9" s="12"/>
      <c r="E9" s="12"/>
      <c r="F9" s="12"/>
      <c r="G9" s="13"/>
    </row>
    <row r="10" ht="30.0" customHeight="1">
      <c r="A10" s="15" t="s">
        <v>24</v>
      </c>
      <c r="B10" s="16">
        <f>'Global Assumptions'!$B$6</f>
        <v>258</v>
      </c>
      <c r="C10" s="17" t="s">
        <v>41</v>
      </c>
    </row>
    <row r="11" ht="4.5" customHeight="1"/>
    <row r="12" ht="30.0" customHeight="1">
      <c r="A12" s="15" t="s">
        <v>160</v>
      </c>
      <c r="B12" s="34">
        <v>5.0</v>
      </c>
      <c r="C12" s="17" t="s">
        <v>161</v>
      </c>
    </row>
    <row r="13" ht="30.0" customHeight="1">
      <c r="A13" s="15" t="s">
        <v>162</v>
      </c>
      <c r="B13" s="16">
        <v>3.0</v>
      </c>
      <c r="C13" s="17" t="s">
        <v>161</v>
      </c>
    </row>
    <row r="14" ht="30.0" customHeight="1">
      <c r="A14" s="15" t="s">
        <v>163</v>
      </c>
      <c r="B14" s="16">
        <v>5.0</v>
      </c>
      <c r="C14" s="17" t="s">
        <v>161</v>
      </c>
    </row>
    <row r="16" ht="19.5" customHeight="1">
      <c r="A16" s="6" t="s">
        <v>165</v>
      </c>
      <c r="B16" s="2"/>
      <c r="C16" s="2"/>
      <c r="D16" s="2"/>
      <c r="E16" s="2"/>
      <c r="F16" s="2"/>
      <c r="G16" s="3"/>
    </row>
    <row r="17" ht="15.75" customHeight="1">
      <c r="A17" s="24" t="s">
        <v>166</v>
      </c>
      <c r="B17" s="2"/>
      <c r="C17" s="2"/>
      <c r="D17" s="2"/>
      <c r="E17" s="2"/>
      <c r="F17" s="2"/>
      <c r="G17" s="3"/>
    </row>
    <row r="18" ht="33.75" customHeight="1">
      <c r="A18" s="25" t="s">
        <v>108</v>
      </c>
      <c r="B18" s="25" t="s">
        <v>168</v>
      </c>
      <c r="C18" s="25" t="s">
        <v>169</v>
      </c>
      <c r="D18" s="25" t="s">
        <v>115</v>
      </c>
      <c r="E18" s="25" t="s">
        <v>115</v>
      </c>
      <c r="F18" s="25" t="s">
        <v>116</v>
      </c>
      <c r="G18" s="25" t="s">
        <v>117</v>
      </c>
    </row>
    <row r="19">
      <c r="A19" s="26" t="s">
        <v>171</v>
      </c>
      <c r="B19" s="27">
        <v>5.0</v>
      </c>
      <c r="C19" s="29">
        <f t="shared" ref="C19:C28" si="1">IF($A19="","",MAX(0,$B19-$B$13))</f>
        <v>2</v>
      </c>
      <c r="D19" s="30"/>
      <c r="E19" s="30"/>
      <c r="F19" s="29">
        <f t="shared" ref="F19:F28" si="2">IF($A19="","",$B$12+$C19*$B$14)</f>
        <v>15</v>
      </c>
      <c r="G19" s="31">
        <f>IF($A19="","",$F19*'Global Assumptions'!$B$6)</f>
        <v>3870</v>
      </c>
    </row>
    <row r="20">
      <c r="A20" s="26"/>
      <c r="B20" s="27"/>
      <c r="C20" s="29" t="str">
        <f t="shared" si="1"/>
        <v/>
      </c>
      <c r="D20" s="30"/>
      <c r="E20" s="30"/>
      <c r="F20" s="29" t="str">
        <f t="shared" si="2"/>
        <v/>
      </c>
      <c r="G20" s="31" t="str">
        <f>IF($A20="","",$F20*'Global Assumptions'!$B$6)</f>
        <v/>
      </c>
    </row>
    <row r="21" ht="15.75" customHeight="1">
      <c r="A21" s="26"/>
      <c r="B21" s="27"/>
      <c r="C21" s="29" t="str">
        <f t="shared" si="1"/>
        <v/>
      </c>
      <c r="D21" s="30"/>
      <c r="E21" s="30"/>
      <c r="F21" s="29" t="str">
        <f t="shared" si="2"/>
        <v/>
      </c>
      <c r="G21" s="31" t="str">
        <f>IF($A21="","",$F21*'Global Assumptions'!$B$6)</f>
        <v/>
      </c>
    </row>
    <row r="22" ht="15.75" customHeight="1">
      <c r="A22" s="26"/>
      <c r="B22" s="27"/>
      <c r="C22" s="29" t="str">
        <f t="shared" si="1"/>
        <v/>
      </c>
      <c r="D22" s="30"/>
      <c r="E22" s="30"/>
      <c r="F22" s="29" t="str">
        <f t="shared" si="2"/>
        <v/>
      </c>
      <c r="G22" s="31" t="str">
        <f>IF($A22="","",$F22*'Global Assumptions'!$B$6)</f>
        <v/>
      </c>
    </row>
    <row r="23" ht="15.75" customHeight="1">
      <c r="A23" s="26"/>
      <c r="B23" s="27"/>
      <c r="C23" s="29" t="str">
        <f t="shared" si="1"/>
        <v/>
      </c>
      <c r="D23" s="30"/>
      <c r="E23" s="30"/>
      <c r="F23" s="29" t="str">
        <f t="shared" si="2"/>
        <v/>
      </c>
      <c r="G23" s="31" t="str">
        <f>IF($A23="","",$F23*'Global Assumptions'!$B$6)</f>
        <v/>
      </c>
    </row>
    <row r="24" ht="15.75" customHeight="1">
      <c r="A24" s="26"/>
      <c r="B24" s="27"/>
      <c r="C24" s="29" t="str">
        <f t="shared" si="1"/>
        <v/>
      </c>
      <c r="D24" s="30"/>
      <c r="E24" s="30"/>
      <c r="F24" s="29" t="str">
        <f t="shared" si="2"/>
        <v/>
      </c>
      <c r="G24" s="31" t="str">
        <f>IF($A24="","",$F24*'Global Assumptions'!$B$6)</f>
        <v/>
      </c>
    </row>
    <row r="25" ht="15.75" customHeight="1">
      <c r="A25" s="26"/>
      <c r="B25" s="27"/>
      <c r="C25" s="29" t="str">
        <f t="shared" si="1"/>
        <v/>
      </c>
      <c r="D25" s="30"/>
      <c r="E25" s="30"/>
      <c r="F25" s="29" t="str">
        <f t="shared" si="2"/>
        <v/>
      </c>
      <c r="G25" s="31" t="str">
        <f>IF($A25="","",$F25*'Global Assumptions'!$B$6)</f>
        <v/>
      </c>
    </row>
    <row r="26" ht="15.75" customHeight="1">
      <c r="A26" s="26"/>
      <c r="B26" s="27"/>
      <c r="C26" s="29" t="str">
        <f t="shared" si="1"/>
        <v/>
      </c>
      <c r="D26" s="30"/>
      <c r="E26" s="30"/>
      <c r="F26" s="29" t="str">
        <f t="shared" si="2"/>
        <v/>
      </c>
      <c r="G26" s="31" t="str">
        <f>IF($A26="","",$F26*'Global Assumptions'!$B$6)</f>
        <v/>
      </c>
    </row>
    <row r="27" ht="15.75" customHeight="1">
      <c r="A27" s="26"/>
      <c r="B27" s="27"/>
      <c r="C27" s="29" t="str">
        <f t="shared" si="1"/>
        <v/>
      </c>
      <c r="D27" s="30"/>
      <c r="E27" s="30"/>
      <c r="F27" s="29" t="str">
        <f t="shared" si="2"/>
        <v/>
      </c>
      <c r="G27" s="31" t="str">
        <f>IF($A27="","",$F27*'Global Assumptions'!$B$6)</f>
        <v/>
      </c>
    </row>
    <row r="28" ht="15.75" customHeight="1">
      <c r="A28" s="26"/>
      <c r="B28" s="27"/>
      <c r="C28" s="29" t="str">
        <f t="shared" si="1"/>
        <v/>
      </c>
      <c r="D28" s="30"/>
      <c r="E28" s="30"/>
      <c r="F28" s="29" t="str">
        <f t="shared" si="2"/>
        <v/>
      </c>
      <c r="G28" s="31" t="str">
        <f>IF($A28="","",$F28*'Global Assumptions'!$B$6)</f>
        <v/>
      </c>
    </row>
    <row r="29" ht="15.75" customHeight="1">
      <c r="A29" s="33" t="s">
        <v>159</v>
      </c>
      <c r="B29" s="36"/>
      <c r="C29" s="36"/>
      <c r="D29" s="36"/>
      <c r="E29" s="36"/>
      <c r="F29" s="37">
        <f t="shared" ref="F29:G29" si="3">SUM(F19:F28)</f>
        <v>15</v>
      </c>
      <c r="G29" s="38">
        <f t="shared" si="3"/>
        <v>3870</v>
      </c>
    </row>
    <row r="30" ht="15.75" customHeight="1"/>
    <row r="31" ht="18.0" customHeight="1">
      <c r="A31" s="6" t="s">
        <v>170</v>
      </c>
      <c r="B31" s="2"/>
      <c r="C31" s="2"/>
      <c r="D31" s="2"/>
      <c r="E31" s="2"/>
      <c r="F31" s="2"/>
      <c r="G31" s="3"/>
    </row>
    <row r="32" ht="15.75" customHeight="1">
      <c r="A32" s="39" t="s">
        <v>173</v>
      </c>
      <c r="B32" s="40">
        <f>$F$29</f>
        <v>15</v>
      </c>
      <c r="C32" s="21"/>
      <c r="D32" s="21"/>
      <c r="E32" s="21"/>
      <c r="F32" s="21"/>
      <c r="G32" s="21"/>
    </row>
    <row r="33" ht="15.75" customHeight="1">
      <c r="A33" s="39" t="s">
        <v>174</v>
      </c>
      <c r="B33" s="40">
        <f>IF($B$32=0,0,$B$32*'Global Assumptions'!$B$7)</f>
        <v>5.25</v>
      </c>
      <c r="C33" s="41"/>
      <c r="D33" s="2"/>
      <c r="E33" s="2"/>
      <c r="F33" s="2"/>
      <c r="G33" s="3"/>
    </row>
    <row r="34" ht="15.75" customHeight="1">
      <c r="A34" s="39" t="s">
        <v>176</v>
      </c>
      <c r="B34" s="27" t="s">
        <v>177</v>
      </c>
      <c r="C34" s="21"/>
      <c r="D34" s="21"/>
      <c r="E34" s="21"/>
      <c r="F34" s="21"/>
      <c r="G34" s="21"/>
    </row>
    <row r="35" ht="15.75" customHeight="1">
      <c r="A35" s="39" t="s">
        <v>178</v>
      </c>
      <c r="B35" s="40">
        <f>($B$32+$B$33)*IF($B$34="5-7 weeks",'Global Assumptions'!$B$11,IF($B$34="3-4 weeks",'Global Assumptions'!$B$12,IF($B$34="&lt;3 weeks",'Global Assumptions'!$B$13,'Global Assumptions'!$B$10)))</f>
        <v>20.25</v>
      </c>
      <c r="C35" s="21"/>
      <c r="D35" s="21"/>
      <c r="E35" s="21"/>
      <c r="F35" s="21"/>
      <c r="G35" s="21"/>
    </row>
    <row r="36" ht="15.75" customHeight="1">
      <c r="A36" s="39" t="s">
        <v>180</v>
      </c>
      <c r="B36" s="42">
        <f>$B$35*'Global Assumptions'!$B$6</f>
        <v>5224.5</v>
      </c>
      <c r="C36" s="21"/>
      <c r="D36" s="21"/>
      <c r="E36" s="21"/>
      <c r="F36" s="21"/>
      <c r="G36" s="21"/>
    </row>
    <row r="37" ht="15.75" customHeight="1"/>
    <row r="38" ht="30.0" customHeight="1">
      <c r="A38" s="43" t="s">
        <v>205</v>
      </c>
      <c r="B38" s="2"/>
      <c r="C38" s="2"/>
      <c r="D38" s="2"/>
      <c r="E38" s="2"/>
      <c r="F38" s="2"/>
      <c r="G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G1"/>
    <mergeCell ref="A2:G2"/>
    <mergeCell ref="A4:G4"/>
    <mergeCell ref="A5:G5"/>
    <mergeCell ref="A6:G6"/>
    <mergeCell ref="A8:G8"/>
    <mergeCell ref="C9:G9"/>
    <mergeCell ref="C33:G33"/>
    <mergeCell ref="A38:G38"/>
    <mergeCell ref="C10:G10"/>
    <mergeCell ref="C12:G12"/>
    <mergeCell ref="C13:G13"/>
    <mergeCell ref="C14:G14"/>
    <mergeCell ref="A16:G16"/>
    <mergeCell ref="A17:G17"/>
    <mergeCell ref="A31:G31"/>
  </mergeCells>
  <dataValidations>
    <dataValidation type="list" allowBlank="1" sqref="B34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4" width="12.0"/>
    <col customWidth="1" min="5" max="6" width="10.0"/>
    <col customWidth="1" min="7" max="7" width="12.0"/>
    <col customWidth="1" min="8" max="9" width="10.0"/>
    <col customWidth="1" min="10" max="10" width="12.0"/>
    <col customWidth="1" min="11" max="26" width="8.71"/>
  </cols>
  <sheetData>
    <row r="1" ht="27.75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3"/>
    </row>
    <row r="2" ht="45.75" customHeight="1">
      <c r="A2" s="4" t="s">
        <v>164</v>
      </c>
      <c r="B2" s="2"/>
      <c r="C2" s="2"/>
      <c r="D2" s="2"/>
      <c r="E2" s="2"/>
      <c r="F2" s="2"/>
      <c r="G2" s="2"/>
      <c r="H2" s="2"/>
      <c r="I2" s="2"/>
      <c r="J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2"/>
      <c r="J4" s="3"/>
    </row>
    <row r="5" ht="31.5" customHeight="1">
      <c r="A5" s="14" t="s">
        <v>167</v>
      </c>
      <c r="B5" s="2"/>
      <c r="C5" s="2"/>
      <c r="D5" s="2"/>
      <c r="E5" s="2"/>
      <c r="F5" s="2"/>
      <c r="G5" s="2"/>
      <c r="H5" s="2"/>
      <c r="I5" s="2"/>
      <c r="J5" s="3"/>
    </row>
    <row r="6" ht="31.5" customHeight="1">
      <c r="A6" s="14" t="s">
        <v>172</v>
      </c>
      <c r="B6" s="2"/>
      <c r="C6" s="2"/>
      <c r="D6" s="2"/>
      <c r="E6" s="2"/>
      <c r="F6" s="2"/>
      <c r="G6" s="2"/>
      <c r="H6" s="2"/>
      <c r="I6" s="2"/>
      <c r="J6" s="3"/>
    </row>
    <row r="7" ht="18.0" customHeight="1">
      <c r="A7" s="9" t="s">
        <v>14</v>
      </c>
      <c r="B7" s="2"/>
      <c r="C7" s="2"/>
      <c r="D7" s="2"/>
      <c r="E7" s="2"/>
      <c r="F7" s="2"/>
      <c r="G7" s="2"/>
      <c r="H7" s="2"/>
      <c r="I7" s="2"/>
      <c r="J7" s="3"/>
    </row>
    <row r="8" ht="6.0" customHeight="1"/>
    <row r="9" ht="19.5" customHeight="1">
      <c r="A9" s="6" t="s">
        <v>175</v>
      </c>
      <c r="B9" s="2"/>
      <c r="C9" s="2"/>
      <c r="D9" s="2"/>
      <c r="E9" s="2"/>
      <c r="F9" s="2"/>
      <c r="G9" s="2"/>
      <c r="H9" s="2"/>
      <c r="I9" s="2"/>
      <c r="J9" s="3"/>
    </row>
    <row r="10">
      <c r="A10" s="5" t="s">
        <v>19</v>
      </c>
      <c r="B10" s="5" t="s">
        <v>20</v>
      </c>
      <c r="C10" s="11" t="s">
        <v>21</v>
      </c>
      <c r="D10" s="12"/>
      <c r="E10" s="12"/>
      <c r="F10" s="12"/>
      <c r="G10" s="12"/>
      <c r="H10" s="12"/>
      <c r="I10" s="12"/>
      <c r="J10" s="13"/>
    </row>
    <row r="11" ht="30.0" customHeight="1">
      <c r="A11" s="15" t="s">
        <v>24</v>
      </c>
      <c r="B11" s="16">
        <f>'Global Assumptions'!$B$6</f>
        <v>258</v>
      </c>
      <c r="C11" s="17" t="s">
        <v>41</v>
      </c>
    </row>
    <row r="12" ht="4.5" customHeight="1"/>
    <row r="13" ht="24.0" customHeight="1">
      <c r="A13" s="20" t="s">
        <v>179</v>
      </c>
      <c r="B13" s="21"/>
      <c r="C13" s="21"/>
      <c r="D13" s="21"/>
      <c r="E13" s="21"/>
      <c r="F13" s="21"/>
      <c r="G13" s="21"/>
      <c r="H13" s="21"/>
      <c r="I13" s="21"/>
      <c r="J13" s="21"/>
    </row>
    <row r="14" ht="30.0" customHeight="1">
      <c r="A14" s="15" t="s">
        <v>181</v>
      </c>
      <c r="B14" s="34">
        <v>10.0</v>
      </c>
      <c r="C14" s="17" t="s">
        <v>182</v>
      </c>
    </row>
    <row r="15" ht="4.5" customHeight="1"/>
    <row r="16" ht="24.0" customHeight="1">
      <c r="A16" s="20" t="s">
        <v>183</v>
      </c>
      <c r="B16" s="21"/>
      <c r="C16" s="21"/>
      <c r="D16" s="21"/>
      <c r="E16" s="21"/>
      <c r="F16" s="21"/>
      <c r="G16" s="21"/>
      <c r="H16" s="21"/>
      <c r="I16" s="21"/>
      <c r="J16" s="21"/>
    </row>
    <row r="17" ht="30.0" customHeight="1">
      <c r="A17" s="15" t="s">
        <v>184</v>
      </c>
      <c r="B17" s="34">
        <v>25.0</v>
      </c>
      <c r="C17" s="17" t="s">
        <v>186</v>
      </c>
    </row>
    <row r="18" ht="4.5" customHeight="1"/>
    <row r="19" ht="24.0" customHeight="1">
      <c r="A19" s="20" t="s">
        <v>187</v>
      </c>
      <c r="B19" s="21"/>
      <c r="C19" s="21"/>
      <c r="D19" s="21"/>
      <c r="E19" s="21"/>
      <c r="F19" s="21"/>
      <c r="G19" s="21"/>
      <c r="H19" s="21"/>
      <c r="I19" s="21"/>
      <c r="J19" s="21"/>
    </row>
    <row r="20" ht="30.0" customHeight="1">
      <c r="A20" s="15" t="s">
        <v>188</v>
      </c>
      <c r="B20" s="34">
        <v>0.25</v>
      </c>
      <c r="C20" s="17" t="s">
        <v>189</v>
      </c>
    </row>
    <row r="21" ht="4.5" customHeight="1"/>
    <row r="22" ht="24.0" customHeight="1">
      <c r="A22" s="20" t="s">
        <v>190</v>
      </c>
      <c r="B22" s="21"/>
      <c r="C22" s="21"/>
      <c r="D22" s="21"/>
      <c r="E22" s="21"/>
      <c r="F22" s="21"/>
      <c r="G22" s="21"/>
      <c r="H22" s="21"/>
      <c r="I22" s="21"/>
      <c r="J22" s="21"/>
    </row>
    <row r="23" ht="30.0" customHeight="1">
      <c r="A23" s="15" t="s">
        <v>191</v>
      </c>
      <c r="B23" s="16">
        <v>2.0</v>
      </c>
      <c r="C23" s="17" t="s">
        <v>189</v>
      </c>
    </row>
    <row r="24" ht="4.5" customHeight="1"/>
    <row r="25" ht="24.0" customHeight="1">
      <c r="A25" s="20" t="s">
        <v>192</v>
      </c>
      <c r="B25" s="21"/>
      <c r="C25" s="21"/>
      <c r="D25" s="21"/>
      <c r="E25" s="21"/>
      <c r="F25" s="21"/>
      <c r="G25" s="21"/>
      <c r="H25" s="21"/>
      <c r="I25" s="21"/>
      <c r="J25" s="21"/>
    </row>
    <row r="26" ht="30.0" customHeight="1">
      <c r="A26" s="15" t="s">
        <v>193</v>
      </c>
      <c r="B26" s="34">
        <v>25.0</v>
      </c>
      <c r="C26" s="17" t="s">
        <v>194</v>
      </c>
    </row>
    <row r="27" ht="15.75" customHeight="1"/>
    <row r="28" ht="19.5" customHeight="1">
      <c r="A28" s="6" t="s">
        <v>195</v>
      </c>
      <c r="B28" s="2"/>
      <c r="C28" s="2"/>
      <c r="D28" s="2"/>
      <c r="E28" s="2"/>
      <c r="F28" s="2"/>
      <c r="G28" s="2"/>
      <c r="H28" s="2"/>
      <c r="I28" s="2"/>
      <c r="J28" s="3"/>
    </row>
    <row r="29" ht="15.75" customHeight="1">
      <c r="A29" s="24" t="s">
        <v>196</v>
      </c>
      <c r="B29" s="2"/>
      <c r="C29" s="2"/>
      <c r="D29" s="2"/>
      <c r="E29" s="2"/>
      <c r="F29" s="2"/>
      <c r="G29" s="2"/>
      <c r="H29" s="2"/>
      <c r="I29" s="2"/>
      <c r="J29" s="3"/>
    </row>
    <row r="30" ht="33.75" customHeight="1">
      <c r="A30" s="25" t="s">
        <v>108</v>
      </c>
      <c r="B30" s="25" t="s">
        <v>197</v>
      </c>
      <c r="C30" s="25" t="s">
        <v>198</v>
      </c>
      <c r="D30" s="25" t="s">
        <v>199</v>
      </c>
      <c r="E30" s="25" t="s">
        <v>200</v>
      </c>
      <c r="F30" s="25" t="s">
        <v>201</v>
      </c>
      <c r="G30" s="25" t="s">
        <v>202</v>
      </c>
      <c r="H30" s="25" t="s">
        <v>203</v>
      </c>
      <c r="I30" s="25" t="s">
        <v>116</v>
      </c>
      <c r="J30" s="25" t="s">
        <v>117</v>
      </c>
    </row>
    <row r="31" ht="15.75" customHeight="1">
      <c r="A31" s="26" t="s">
        <v>204</v>
      </c>
      <c r="B31" s="27">
        <v>12.0</v>
      </c>
      <c r="C31" s="27">
        <v>150.0</v>
      </c>
      <c r="D31" s="27">
        <v>1.0</v>
      </c>
      <c r="E31" s="29">
        <f t="shared" ref="E31:E40" si="1">IF($A31="","",$B$14)</f>
        <v>10</v>
      </c>
      <c r="F31" s="29">
        <f t="shared" ref="F31:F40" si="2">IF($A31="","",$B$17+MAX(0,$D31-1)*$B$26)</f>
        <v>25</v>
      </c>
      <c r="G31" s="29">
        <f t="shared" ref="G31:G40" si="3">IF($A31="","",$B31*$B$20)</f>
        <v>3</v>
      </c>
      <c r="H31" s="29">
        <f t="shared" ref="H31:H40" si="4">IF($A31="","",($C31/50)*$B$23)</f>
        <v>6</v>
      </c>
      <c r="I31" s="29">
        <f t="shared" ref="I31:I40" si="5">IF($A31="","",$E31+$F31+$G31+$H31)</f>
        <v>44</v>
      </c>
      <c r="J31" s="31">
        <f>IF($A31="","",$I31*'Global Assumptions'!$B$6)</f>
        <v>11352</v>
      </c>
    </row>
    <row r="32" ht="15.75" customHeight="1">
      <c r="A32" s="26"/>
      <c r="B32" s="27"/>
      <c r="C32" s="27"/>
      <c r="D32" s="27"/>
      <c r="E32" s="29" t="str">
        <f t="shared" si="1"/>
        <v/>
      </c>
      <c r="F32" s="29" t="str">
        <f t="shared" si="2"/>
        <v/>
      </c>
      <c r="G32" s="29" t="str">
        <f t="shared" si="3"/>
        <v/>
      </c>
      <c r="H32" s="29" t="str">
        <f t="shared" si="4"/>
        <v/>
      </c>
      <c r="I32" s="29" t="str">
        <f t="shared" si="5"/>
        <v/>
      </c>
      <c r="J32" s="31" t="str">
        <f>IF($A32="","",$I32*'Global Assumptions'!$B$6)</f>
        <v/>
      </c>
    </row>
    <row r="33" ht="15.75" customHeight="1">
      <c r="A33" s="26"/>
      <c r="B33" s="27"/>
      <c r="C33" s="27"/>
      <c r="D33" s="27"/>
      <c r="E33" s="29" t="str">
        <f t="shared" si="1"/>
        <v/>
      </c>
      <c r="F33" s="29" t="str">
        <f t="shared" si="2"/>
        <v/>
      </c>
      <c r="G33" s="29" t="str">
        <f t="shared" si="3"/>
        <v/>
      </c>
      <c r="H33" s="29" t="str">
        <f t="shared" si="4"/>
        <v/>
      </c>
      <c r="I33" s="29" t="str">
        <f t="shared" si="5"/>
        <v/>
      </c>
      <c r="J33" s="31" t="str">
        <f>IF($A33="","",$I33*'Global Assumptions'!$B$6)</f>
        <v/>
      </c>
    </row>
    <row r="34" ht="15.75" customHeight="1">
      <c r="A34" s="26"/>
      <c r="B34" s="27"/>
      <c r="C34" s="27"/>
      <c r="D34" s="27"/>
      <c r="E34" s="29" t="str">
        <f t="shared" si="1"/>
        <v/>
      </c>
      <c r="F34" s="29" t="str">
        <f t="shared" si="2"/>
        <v/>
      </c>
      <c r="G34" s="29" t="str">
        <f t="shared" si="3"/>
        <v/>
      </c>
      <c r="H34" s="29" t="str">
        <f t="shared" si="4"/>
        <v/>
      </c>
      <c r="I34" s="29" t="str">
        <f t="shared" si="5"/>
        <v/>
      </c>
      <c r="J34" s="31" t="str">
        <f>IF($A34="","",$I34*'Global Assumptions'!$B$6)</f>
        <v/>
      </c>
    </row>
    <row r="35" ht="15.75" customHeight="1">
      <c r="A35" s="26"/>
      <c r="B35" s="27"/>
      <c r="C35" s="27"/>
      <c r="D35" s="27"/>
      <c r="E35" s="29" t="str">
        <f t="shared" si="1"/>
        <v/>
      </c>
      <c r="F35" s="29" t="str">
        <f t="shared" si="2"/>
        <v/>
      </c>
      <c r="G35" s="29" t="str">
        <f t="shared" si="3"/>
        <v/>
      </c>
      <c r="H35" s="29" t="str">
        <f t="shared" si="4"/>
        <v/>
      </c>
      <c r="I35" s="29" t="str">
        <f t="shared" si="5"/>
        <v/>
      </c>
      <c r="J35" s="31" t="str">
        <f>IF($A35="","",$I35*'Global Assumptions'!$B$6)</f>
        <v/>
      </c>
    </row>
    <row r="36" ht="15.75" customHeight="1">
      <c r="A36" s="26"/>
      <c r="B36" s="27"/>
      <c r="C36" s="27"/>
      <c r="D36" s="27"/>
      <c r="E36" s="29" t="str">
        <f t="shared" si="1"/>
        <v/>
      </c>
      <c r="F36" s="29" t="str">
        <f t="shared" si="2"/>
        <v/>
      </c>
      <c r="G36" s="29" t="str">
        <f t="shared" si="3"/>
        <v/>
      </c>
      <c r="H36" s="29" t="str">
        <f t="shared" si="4"/>
        <v/>
      </c>
      <c r="I36" s="29" t="str">
        <f t="shared" si="5"/>
        <v/>
      </c>
      <c r="J36" s="31" t="str">
        <f>IF($A36="","",$I36*'Global Assumptions'!$B$6)</f>
        <v/>
      </c>
    </row>
    <row r="37" ht="15.75" customHeight="1">
      <c r="A37" s="26"/>
      <c r="B37" s="27"/>
      <c r="C37" s="27"/>
      <c r="D37" s="27"/>
      <c r="E37" s="29" t="str">
        <f t="shared" si="1"/>
        <v/>
      </c>
      <c r="F37" s="29" t="str">
        <f t="shared" si="2"/>
        <v/>
      </c>
      <c r="G37" s="29" t="str">
        <f t="shared" si="3"/>
        <v/>
      </c>
      <c r="H37" s="29" t="str">
        <f t="shared" si="4"/>
        <v/>
      </c>
      <c r="I37" s="29" t="str">
        <f t="shared" si="5"/>
        <v/>
      </c>
      <c r="J37" s="31" t="str">
        <f>IF($A37="","",$I37*'Global Assumptions'!$B$6)</f>
        <v/>
      </c>
    </row>
    <row r="38" ht="15.75" customHeight="1">
      <c r="A38" s="26"/>
      <c r="B38" s="27"/>
      <c r="C38" s="27"/>
      <c r="D38" s="27"/>
      <c r="E38" s="29" t="str">
        <f t="shared" si="1"/>
        <v/>
      </c>
      <c r="F38" s="29" t="str">
        <f t="shared" si="2"/>
        <v/>
      </c>
      <c r="G38" s="29" t="str">
        <f t="shared" si="3"/>
        <v/>
      </c>
      <c r="H38" s="29" t="str">
        <f t="shared" si="4"/>
        <v/>
      </c>
      <c r="I38" s="29" t="str">
        <f t="shared" si="5"/>
        <v/>
      </c>
      <c r="J38" s="31" t="str">
        <f>IF($A38="","",$I38*'Global Assumptions'!$B$6)</f>
        <v/>
      </c>
    </row>
    <row r="39" ht="15.75" customHeight="1">
      <c r="A39" s="26"/>
      <c r="B39" s="27"/>
      <c r="C39" s="27"/>
      <c r="D39" s="27"/>
      <c r="E39" s="29" t="str">
        <f t="shared" si="1"/>
        <v/>
      </c>
      <c r="F39" s="29" t="str">
        <f t="shared" si="2"/>
        <v/>
      </c>
      <c r="G39" s="29" t="str">
        <f t="shared" si="3"/>
        <v/>
      </c>
      <c r="H39" s="29" t="str">
        <f t="shared" si="4"/>
        <v/>
      </c>
      <c r="I39" s="29" t="str">
        <f t="shared" si="5"/>
        <v/>
      </c>
      <c r="J39" s="31" t="str">
        <f>IF($A39="","",$I39*'Global Assumptions'!$B$6)</f>
        <v/>
      </c>
    </row>
    <row r="40" ht="15.75" customHeight="1">
      <c r="A40" s="26"/>
      <c r="B40" s="27"/>
      <c r="C40" s="27"/>
      <c r="D40" s="27"/>
      <c r="E40" s="29" t="str">
        <f t="shared" si="1"/>
        <v/>
      </c>
      <c r="F40" s="29" t="str">
        <f t="shared" si="2"/>
        <v/>
      </c>
      <c r="G40" s="29" t="str">
        <f t="shared" si="3"/>
        <v/>
      </c>
      <c r="H40" s="29" t="str">
        <f t="shared" si="4"/>
        <v/>
      </c>
      <c r="I40" s="29" t="str">
        <f t="shared" si="5"/>
        <v/>
      </c>
      <c r="J40" s="31" t="str">
        <f>IF($A40="","",$I40*'Global Assumptions'!$B$6)</f>
        <v/>
      </c>
    </row>
    <row r="41" ht="15.75" customHeight="1">
      <c r="A41" s="33" t="s">
        <v>159</v>
      </c>
      <c r="B41" s="35">
        <f t="shared" ref="B41:J41" si="6">SUM(B31:B40)</f>
        <v>12</v>
      </c>
      <c r="C41" s="35">
        <f t="shared" si="6"/>
        <v>150</v>
      </c>
      <c r="D41" s="35">
        <f t="shared" si="6"/>
        <v>1</v>
      </c>
      <c r="E41" s="37">
        <f t="shared" si="6"/>
        <v>10</v>
      </c>
      <c r="F41" s="37">
        <f t="shared" si="6"/>
        <v>25</v>
      </c>
      <c r="G41" s="37">
        <f t="shared" si="6"/>
        <v>3</v>
      </c>
      <c r="H41" s="37">
        <f t="shared" si="6"/>
        <v>6</v>
      </c>
      <c r="I41" s="37">
        <f t="shared" si="6"/>
        <v>44</v>
      </c>
      <c r="J41" s="38">
        <f t="shared" si="6"/>
        <v>11352</v>
      </c>
    </row>
    <row r="42" ht="15.75" customHeight="1"/>
    <row r="43" ht="18.0" customHeight="1">
      <c r="A43" s="6" t="s">
        <v>170</v>
      </c>
      <c r="B43" s="2"/>
      <c r="C43" s="2"/>
      <c r="D43" s="2"/>
      <c r="E43" s="2"/>
      <c r="F43" s="2"/>
      <c r="G43" s="2"/>
      <c r="H43" s="2"/>
      <c r="I43" s="2"/>
      <c r="J43" s="3"/>
    </row>
    <row r="44" ht="15.75" customHeight="1">
      <c r="A44" s="39" t="s">
        <v>173</v>
      </c>
      <c r="B44" s="40">
        <f>$I$41</f>
        <v>44</v>
      </c>
      <c r="C44" s="21"/>
      <c r="D44" s="21"/>
      <c r="E44" s="21"/>
      <c r="F44" s="21"/>
      <c r="G44" s="21"/>
      <c r="H44" s="21"/>
      <c r="I44" s="21"/>
      <c r="J44" s="21"/>
    </row>
    <row r="45" ht="15.75" customHeight="1">
      <c r="A45" s="39" t="s">
        <v>174</v>
      </c>
      <c r="B45" s="40">
        <f>IF($B$44=0,0,$B$44*'Global Assumptions'!$B$7)</f>
        <v>15.4</v>
      </c>
      <c r="C45" s="41"/>
      <c r="D45" s="2"/>
      <c r="E45" s="2"/>
      <c r="F45" s="2"/>
      <c r="G45" s="2"/>
      <c r="H45" s="2"/>
      <c r="I45" s="2"/>
      <c r="J45" s="3"/>
    </row>
    <row r="46" ht="15.75" customHeight="1">
      <c r="A46" s="39" t="s">
        <v>176</v>
      </c>
      <c r="B46" s="27" t="s">
        <v>177</v>
      </c>
      <c r="C46" s="21"/>
      <c r="D46" s="21"/>
      <c r="E46" s="21"/>
      <c r="F46" s="21"/>
      <c r="G46" s="21"/>
      <c r="H46" s="21"/>
      <c r="I46" s="21"/>
      <c r="J46" s="21"/>
    </row>
    <row r="47" ht="15.75" customHeight="1">
      <c r="A47" s="39" t="s">
        <v>178</v>
      </c>
      <c r="B47" s="40">
        <f>($B$44+$B$45)*IF($B$46="5-7 weeks",'Global Assumptions'!$B$11,IF($B$46="3-4 weeks",'Global Assumptions'!$B$12,IF($B$46="&lt;3 weeks",'Global Assumptions'!$B$13,'Global Assumptions'!$B$10)))</f>
        <v>59.4</v>
      </c>
      <c r="C47" s="21"/>
      <c r="D47" s="21"/>
      <c r="E47" s="21"/>
      <c r="F47" s="21"/>
      <c r="G47" s="21"/>
      <c r="H47" s="21"/>
      <c r="I47" s="21"/>
      <c r="J47" s="21"/>
    </row>
    <row r="48" ht="15.75" customHeight="1">
      <c r="A48" s="39" t="s">
        <v>180</v>
      </c>
      <c r="B48" s="42">
        <f>$B$47*'Global Assumptions'!$B$6</f>
        <v>15325.2</v>
      </c>
      <c r="C48" s="21"/>
      <c r="D48" s="21"/>
      <c r="E48" s="21"/>
      <c r="F48" s="21"/>
      <c r="G48" s="21"/>
      <c r="H48" s="21"/>
      <c r="I48" s="21"/>
      <c r="J48" s="21"/>
    </row>
    <row r="49" ht="15.75" customHeight="1"/>
    <row r="50" ht="30.0" customHeight="1">
      <c r="A50" s="43" t="s">
        <v>216</v>
      </c>
      <c r="B50" s="2"/>
      <c r="C50" s="2"/>
      <c r="D50" s="2"/>
      <c r="E50" s="2"/>
      <c r="F50" s="2"/>
      <c r="G50" s="2"/>
      <c r="H50" s="2"/>
      <c r="I50" s="2"/>
      <c r="J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J1"/>
    <mergeCell ref="A2:J2"/>
    <mergeCell ref="A4:J4"/>
    <mergeCell ref="A5:J5"/>
    <mergeCell ref="A6:J6"/>
    <mergeCell ref="A7:J7"/>
    <mergeCell ref="A9:J9"/>
    <mergeCell ref="A28:J28"/>
    <mergeCell ref="A29:J29"/>
    <mergeCell ref="A43:J43"/>
    <mergeCell ref="C45:J45"/>
    <mergeCell ref="A50:J50"/>
    <mergeCell ref="C10:J10"/>
    <mergeCell ref="C11:J11"/>
    <mergeCell ref="C14:J14"/>
    <mergeCell ref="C17:J17"/>
    <mergeCell ref="C20:J20"/>
    <mergeCell ref="C23:J23"/>
    <mergeCell ref="C26:J26"/>
  </mergeCells>
  <dataValidations>
    <dataValidation type="list" allowBlank="1" sqref="B46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3" width="12.0"/>
    <col customWidth="1" min="4" max="4" width="14.0"/>
    <col customWidth="1" min="5" max="7" width="12.0"/>
    <col customWidth="1" min="8" max="8" width="10.0"/>
    <col customWidth="1" min="9" max="9" width="12.0"/>
    <col customWidth="1" min="10" max="26" width="8.71"/>
  </cols>
  <sheetData>
    <row r="1" ht="27.75" customHeight="1">
      <c r="A1" s="1" t="s">
        <v>207</v>
      </c>
      <c r="B1" s="2"/>
      <c r="C1" s="2"/>
      <c r="D1" s="2"/>
      <c r="E1" s="2"/>
      <c r="F1" s="2"/>
      <c r="G1" s="2"/>
      <c r="H1" s="2"/>
      <c r="I1" s="3"/>
    </row>
    <row r="2" ht="45.75" customHeight="1">
      <c r="A2" s="4" t="s">
        <v>208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3"/>
    </row>
    <row r="5" ht="18.0" customHeight="1">
      <c r="A5" s="14" t="s">
        <v>209</v>
      </c>
      <c r="B5" s="2"/>
      <c r="C5" s="2"/>
      <c r="D5" s="2"/>
      <c r="E5" s="2"/>
      <c r="F5" s="2"/>
      <c r="G5" s="2"/>
      <c r="H5" s="2"/>
      <c r="I5" s="3"/>
    </row>
    <row r="6" ht="31.5" customHeight="1">
      <c r="A6" s="14" t="s">
        <v>210</v>
      </c>
      <c r="B6" s="2"/>
      <c r="C6" s="2"/>
      <c r="D6" s="2"/>
      <c r="E6" s="2"/>
      <c r="F6" s="2"/>
      <c r="G6" s="2"/>
      <c r="H6" s="2"/>
      <c r="I6" s="3"/>
    </row>
    <row r="7" ht="18.0" customHeight="1">
      <c r="A7" s="9" t="s">
        <v>14</v>
      </c>
      <c r="B7" s="2"/>
      <c r="C7" s="2"/>
      <c r="D7" s="2"/>
      <c r="E7" s="2"/>
      <c r="F7" s="2"/>
      <c r="G7" s="2"/>
      <c r="H7" s="2"/>
      <c r="I7" s="3"/>
    </row>
    <row r="8" ht="6.0" customHeight="1"/>
    <row r="9" ht="19.5" customHeight="1">
      <c r="A9" s="6" t="s">
        <v>18</v>
      </c>
      <c r="B9" s="2"/>
      <c r="C9" s="2"/>
      <c r="D9" s="2"/>
      <c r="E9" s="2"/>
      <c r="F9" s="2"/>
      <c r="G9" s="2"/>
      <c r="H9" s="2"/>
      <c r="I9" s="3"/>
    </row>
    <row r="10">
      <c r="A10" s="5" t="s">
        <v>19</v>
      </c>
      <c r="B10" s="5" t="s">
        <v>20</v>
      </c>
      <c r="C10" s="11" t="s">
        <v>21</v>
      </c>
      <c r="D10" s="12"/>
      <c r="E10" s="12"/>
      <c r="F10" s="12"/>
      <c r="G10" s="12"/>
      <c r="H10" s="12"/>
      <c r="I10" s="13"/>
    </row>
    <row r="11" ht="30.0" customHeight="1">
      <c r="A11" s="15" t="s">
        <v>24</v>
      </c>
      <c r="B11" s="16">
        <f>'Global Assumptions'!$B$6</f>
        <v>258</v>
      </c>
      <c r="C11" s="17" t="s">
        <v>41</v>
      </c>
    </row>
    <row r="12" ht="4.5" customHeight="1"/>
    <row r="13" ht="30.0" customHeight="1">
      <c r="A13" s="15" t="s">
        <v>211</v>
      </c>
      <c r="B13" s="16">
        <v>1.5</v>
      </c>
      <c r="C13" s="17" t="s">
        <v>212</v>
      </c>
    </row>
    <row r="14" ht="30.0" customHeight="1">
      <c r="A14" s="15" t="s">
        <v>213</v>
      </c>
      <c r="B14" s="16">
        <v>1.5</v>
      </c>
      <c r="C14" s="17" t="s">
        <v>214</v>
      </c>
    </row>
    <row r="15" ht="30.0" customHeight="1">
      <c r="A15" s="15" t="s">
        <v>215</v>
      </c>
      <c r="B15" s="16">
        <v>1.0</v>
      </c>
      <c r="C15" s="17" t="s">
        <v>214</v>
      </c>
    </row>
    <row r="16" ht="30.0" customHeight="1">
      <c r="A16" s="15" t="s">
        <v>218</v>
      </c>
      <c r="B16" s="16">
        <v>4.0</v>
      </c>
      <c r="C16" s="17" t="s">
        <v>214</v>
      </c>
    </row>
    <row r="17" ht="30.0" customHeight="1">
      <c r="A17" s="15" t="s">
        <v>219</v>
      </c>
      <c r="B17" s="16">
        <v>7.0</v>
      </c>
      <c r="C17" s="17" t="s">
        <v>220</v>
      </c>
    </row>
    <row r="19" ht="19.5" customHeight="1">
      <c r="A19" s="6" t="s">
        <v>195</v>
      </c>
      <c r="B19" s="2"/>
      <c r="C19" s="2"/>
      <c r="D19" s="2"/>
      <c r="E19" s="2"/>
      <c r="F19" s="2"/>
      <c r="G19" s="2"/>
      <c r="H19" s="2"/>
      <c r="I19" s="3"/>
    </row>
    <row r="20" ht="27.75" customHeight="1">
      <c r="A20" s="24" t="s">
        <v>222</v>
      </c>
      <c r="B20" s="2"/>
      <c r="C20" s="2"/>
      <c r="D20" s="2"/>
      <c r="E20" s="2"/>
      <c r="F20" s="2"/>
      <c r="G20" s="2"/>
      <c r="H20" s="2"/>
      <c r="I20" s="3"/>
    </row>
    <row r="21" ht="33.75" customHeight="1">
      <c r="A21" s="25" t="s">
        <v>108</v>
      </c>
      <c r="B21" s="25" t="s">
        <v>224</v>
      </c>
      <c r="C21" s="25" t="s">
        <v>225</v>
      </c>
      <c r="D21" s="25" t="s">
        <v>226</v>
      </c>
      <c r="E21" s="25" t="s">
        <v>148</v>
      </c>
      <c r="F21" s="25" t="s">
        <v>227</v>
      </c>
      <c r="G21" s="25" t="s">
        <v>228</v>
      </c>
      <c r="H21" s="25" t="s">
        <v>229</v>
      </c>
      <c r="I21" s="25" t="s">
        <v>116</v>
      </c>
    </row>
    <row r="22" ht="15.75" customHeight="1">
      <c r="A22" s="26" t="s">
        <v>230</v>
      </c>
      <c r="B22" s="27">
        <v>2.0</v>
      </c>
      <c r="C22" s="27">
        <v>2.0</v>
      </c>
      <c r="D22" s="27" t="s">
        <v>231</v>
      </c>
      <c r="E22" s="29">
        <f t="shared" ref="E22:E31" si="1">IF($A22="","",$B$13)</f>
        <v>1.5</v>
      </c>
      <c r="F22" s="29">
        <f t="shared" ref="F22:F31" si="2">IF($A22="","",$B22*$B$14)</f>
        <v>3</v>
      </c>
      <c r="G22" s="29">
        <f t="shared" ref="G22:G31" si="3">IF($A22="","",$C22*IF($D22="High",$B$16,$B$15))</f>
        <v>2</v>
      </c>
      <c r="H22" s="29">
        <f t="shared" ref="H22:H31" si="4">IF($A22="","",$B$17)</f>
        <v>7</v>
      </c>
      <c r="I22" s="29">
        <f t="shared" ref="I22:I31" si="5">IF($A22="","",$E22+$F22+$G22+$H22)</f>
        <v>13.5</v>
      </c>
    </row>
    <row r="23" ht="15.75" customHeight="1">
      <c r="A23" s="26"/>
      <c r="B23" s="27"/>
      <c r="C23" s="27"/>
      <c r="D23" s="27"/>
      <c r="E23" s="29" t="str">
        <f t="shared" si="1"/>
        <v/>
      </c>
      <c r="F23" s="29" t="str">
        <f t="shared" si="2"/>
        <v/>
      </c>
      <c r="G23" s="29" t="str">
        <f t="shared" si="3"/>
        <v/>
      </c>
      <c r="H23" s="29" t="str">
        <f t="shared" si="4"/>
        <v/>
      </c>
      <c r="I23" s="29" t="str">
        <f t="shared" si="5"/>
        <v/>
      </c>
    </row>
    <row r="24" ht="15.75" customHeight="1">
      <c r="A24" s="26"/>
      <c r="B24" s="27"/>
      <c r="C24" s="27"/>
      <c r="D24" s="27"/>
      <c r="E24" s="29" t="str">
        <f t="shared" si="1"/>
        <v/>
      </c>
      <c r="F24" s="29" t="str">
        <f t="shared" si="2"/>
        <v/>
      </c>
      <c r="G24" s="29" t="str">
        <f t="shared" si="3"/>
        <v/>
      </c>
      <c r="H24" s="29" t="str">
        <f t="shared" si="4"/>
        <v/>
      </c>
      <c r="I24" s="29" t="str">
        <f t="shared" si="5"/>
        <v/>
      </c>
    </row>
    <row r="25" ht="15.75" customHeight="1">
      <c r="A25" s="26"/>
      <c r="B25" s="27"/>
      <c r="C25" s="27"/>
      <c r="D25" s="27"/>
      <c r="E25" s="29" t="str">
        <f t="shared" si="1"/>
        <v/>
      </c>
      <c r="F25" s="29" t="str">
        <f t="shared" si="2"/>
        <v/>
      </c>
      <c r="G25" s="29" t="str">
        <f t="shared" si="3"/>
        <v/>
      </c>
      <c r="H25" s="29" t="str">
        <f t="shared" si="4"/>
        <v/>
      </c>
      <c r="I25" s="29" t="str">
        <f t="shared" si="5"/>
        <v/>
      </c>
    </row>
    <row r="26" ht="15.75" customHeight="1">
      <c r="A26" s="26"/>
      <c r="B26" s="27"/>
      <c r="C26" s="27"/>
      <c r="D26" s="27"/>
      <c r="E26" s="29" t="str">
        <f t="shared" si="1"/>
        <v/>
      </c>
      <c r="F26" s="29" t="str">
        <f t="shared" si="2"/>
        <v/>
      </c>
      <c r="G26" s="29" t="str">
        <f t="shared" si="3"/>
        <v/>
      </c>
      <c r="H26" s="29" t="str">
        <f t="shared" si="4"/>
        <v/>
      </c>
      <c r="I26" s="29" t="str">
        <f t="shared" si="5"/>
        <v/>
      </c>
    </row>
    <row r="27" ht="15.75" customHeight="1">
      <c r="A27" s="26"/>
      <c r="B27" s="27"/>
      <c r="C27" s="27"/>
      <c r="D27" s="27"/>
      <c r="E27" s="29" t="str">
        <f t="shared" si="1"/>
        <v/>
      </c>
      <c r="F27" s="29" t="str">
        <f t="shared" si="2"/>
        <v/>
      </c>
      <c r="G27" s="29" t="str">
        <f t="shared" si="3"/>
        <v/>
      </c>
      <c r="H27" s="29" t="str">
        <f t="shared" si="4"/>
        <v/>
      </c>
      <c r="I27" s="29" t="str">
        <f t="shared" si="5"/>
        <v/>
      </c>
    </row>
    <row r="28" ht="15.75" customHeight="1">
      <c r="A28" s="26"/>
      <c r="B28" s="27"/>
      <c r="C28" s="27"/>
      <c r="D28" s="27"/>
      <c r="E28" s="29" t="str">
        <f t="shared" si="1"/>
        <v/>
      </c>
      <c r="F28" s="29" t="str">
        <f t="shared" si="2"/>
        <v/>
      </c>
      <c r="G28" s="29" t="str">
        <f t="shared" si="3"/>
        <v/>
      </c>
      <c r="H28" s="29" t="str">
        <f t="shared" si="4"/>
        <v/>
      </c>
      <c r="I28" s="29" t="str">
        <f t="shared" si="5"/>
        <v/>
      </c>
    </row>
    <row r="29" ht="15.75" customHeight="1">
      <c r="A29" s="26"/>
      <c r="B29" s="27"/>
      <c r="C29" s="27"/>
      <c r="D29" s="27"/>
      <c r="E29" s="29" t="str">
        <f t="shared" si="1"/>
        <v/>
      </c>
      <c r="F29" s="29" t="str">
        <f t="shared" si="2"/>
        <v/>
      </c>
      <c r="G29" s="29" t="str">
        <f t="shared" si="3"/>
        <v/>
      </c>
      <c r="H29" s="29" t="str">
        <f t="shared" si="4"/>
        <v/>
      </c>
      <c r="I29" s="29" t="str">
        <f t="shared" si="5"/>
        <v/>
      </c>
    </row>
    <row r="30" ht="15.75" customHeight="1">
      <c r="A30" s="26"/>
      <c r="B30" s="27"/>
      <c r="C30" s="27"/>
      <c r="D30" s="27"/>
      <c r="E30" s="29" t="str">
        <f t="shared" si="1"/>
        <v/>
      </c>
      <c r="F30" s="29" t="str">
        <f t="shared" si="2"/>
        <v/>
      </c>
      <c r="G30" s="29" t="str">
        <f t="shared" si="3"/>
        <v/>
      </c>
      <c r="H30" s="29" t="str">
        <f t="shared" si="4"/>
        <v/>
      </c>
      <c r="I30" s="29" t="str">
        <f t="shared" si="5"/>
        <v/>
      </c>
    </row>
    <row r="31" ht="15.75" customHeight="1">
      <c r="A31" s="26"/>
      <c r="B31" s="27"/>
      <c r="C31" s="27"/>
      <c r="D31" s="27"/>
      <c r="E31" s="29" t="str">
        <f t="shared" si="1"/>
        <v/>
      </c>
      <c r="F31" s="29" t="str">
        <f t="shared" si="2"/>
        <v/>
      </c>
      <c r="G31" s="29" t="str">
        <f t="shared" si="3"/>
        <v/>
      </c>
      <c r="H31" s="29" t="str">
        <f t="shared" si="4"/>
        <v/>
      </c>
      <c r="I31" s="29" t="str">
        <f t="shared" si="5"/>
        <v/>
      </c>
    </row>
    <row r="32" ht="15.75" customHeight="1">
      <c r="A32" s="33" t="s">
        <v>159</v>
      </c>
      <c r="B32" s="35">
        <f t="shared" ref="B32:C32" si="6">SUM(B22:B31)</f>
        <v>2</v>
      </c>
      <c r="C32" s="35">
        <f t="shared" si="6"/>
        <v>2</v>
      </c>
      <c r="D32" s="36"/>
      <c r="E32" s="37">
        <f t="shared" ref="E32:I32" si="7">SUM(E22:E31)</f>
        <v>1.5</v>
      </c>
      <c r="F32" s="37">
        <f t="shared" si="7"/>
        <v>3</v>
      </c>
      <c r="G32" s="37">
        <f t="shared" si="7"/>
        <v>2</v>
      </c>
      <c r="H32" s="37">
        <f t="shared" si="7"/>
        <v>7</v>
      </c>
      <c r="I32" s="37">
        <f t="shared" si="7"/>
        <v>13.5</v>
      </c>
    </row>
    <row r="33" ht="15.75" customHeight="1"/>
    <row r="34" ht="18.0" customHeight="1">
      <c r="A34" s="6" t="s">
        <v>246</v>
      </c>
      <c r="B34" s="2"/>
      <c r="C34" s="2"/>
      <c r="D34" s="2"/>
      <c r="E34" s="2"/>
      <c r="F34" s="2"/>
      <c r="G34" s="2"/>
      <c r="H34" s="2"/>
      <c r="I34" s="3"/>
    </row>
    <row r="35" ht="15.75" customHeight="1">
      <c r="A35" s="39" t="s">
        <v>247</v>
      </c>
      <c r="B35" s="40">
        <f>$I$32</f>
        <v>13.5</v>
      </c>
      <c r="C35" s="21"/>
      <c r="D35" s="21"/>
      <c r="E35" s="21"/>
      <c r="F35" s="21"/>
      <c r="G35" s="21"/>
      <c r="H35" s="21"/>
      <c r="I35" s="21"/>
    </row>
    <row r="36" ht="15.75" customHeight="1">
      <c r="A36" s="39" t="s">
        <v>176</v>
      </c>
      <c r="B36" s="27" t="s">
        <v>177</v>
      </c>
      <c r="C36" s="21"/>
      <c r="D36" s="21"/>
      <c r="E36" s="21"/>
      <c r="F36" s="21"/>
      <c r="G36" s="21"/>
      <c r="H36" s="21"/>
      <c r="I36" s="21"/>
    </row>
    <row r="37" ht="15.75" customHeight="1">
      <c r="A37" s="39" t="s">
        <v>248</v>
      </c>
      <c r="B37" s="40">
        <f>$B$35*IF($B$36="5-7 weeks",'Global Assumptions'!$B$11,IF($B$36="3-4 weeks",'Global Assumptions'!$B$12,IF($B$36="&lt;3 weeks",'Global Assumptions'!$B$13,'Global Assumptions'!$B$10)))</f>
        <v>13.5</v>
      </c>
      <c r="C37" s="21"/>
      <c r="D37" s="21"/>
      <c r="E37" s="21"/>
      <c r="F37" s="21"/>
      <c r="G37" s="21"/>
      <c r="H37" s="21"/>
      <c r="I37" s="21"/>
    </row>
    <row r="38" ht="15.75" customHeight="1">
      <c r="A38" s="39" t="s">
        <v>180</v>
      </c>
      <c r="B38" s="42">
        <f>$B$37*'Global Assumptions'!$B$6</f>
        <v>3483</v>
      </c>
      <c r="C38" s="21"/>
      <c r="D38" s="21"/>
      <c r="E38" s="21"/>
      <c r="F38" s="21"/>
      <c r="G38" s="21"/>
      <c r="H38" s="21"/>
      <c r="I38" s="21"/>
    </row>
    <row r="39" ht="15.75" customHeight="1"/>
    <row r="40" ht="19.5" customHeight="1">
      <c r="A40" s="43" t="s">
        <v>251</v>
      </c>
      <c r="B40" s="2"/>
      <c r="C40" s="2"/>
      <c r="D40" s="2"/>
      <c r="E40" s="2"/>
      <c r="F40" s="2"/>
      <c r="G40" s="2"/>
      <c r="H40" s="2"/>
      <c r="I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I1"/>
    <mergeCell ref="A2:I2"/>
    <mergeCell ref="A4:I4"/>
    <mergeCell ref="A5:I5"/>
    <mergeCell ref="A6:I6"/>
    <mergeCell ref="A7:I7"/>
    <mergeCell ref="A9:I9"/>
    <mergeCell ref="A19:I19"/>
    <mergeCell ref="A20:I20"/>
    <mergeCell ref="A34:I34"/>
    <mergeCell ref="A40:I40"/>
    <mergeCell ref="C10:I10"/>
    <mergeCell ref="C11:I11"/>
    <mergeCell ref="C13:I13"/>
    <mergeCell ref="C14:I14"/>
    <mergeCell ref="C15:I15"/>
    <mergeCell ref="C16:I16"/>
    <mergeCell ref="C17:I17"/>
  </mergeCells>
  <dataValidations>
    <dataValidation type="list" allowBlank="1" sqref="D22:D31">
      <formula1>"Normal,High"</formula1>
    </dataValidation>
    <dataValidation type="list" allowBlank="1" sqref="B36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3" width="14.0"/>
    <col customWidth="1" min="4" max="4" width="12.0"/>
    <col customWidth="1" min="5" max="5" width="14.0"/>
    <col customWidth="1" min="6" max="6" width="12.0"/>
    <col customWidth="1" min="7" max="7" width="10.0"/>
    <col customWidth="1" min="8" max="8" width="12.0"/>
    <col customWidth="1" min="9" max="26" width="8.71"/>
  </cols>
  <sheetData>
    <row r="1" ht="27.75" customHeight="1">
      <c r="A1" s="1" t="s">
        <v>217</v>
      </c>
      <c r="B1" s="2"/>
      <c r="C1" s="2"/>
      <c r="D1" s="2"/>
      <c r="E1" s="2"/>
      <c r="F1" s="2"/>
      <c r="G1" s="2"/>
      <c r="H1" s="3"/>
    </row>
    <row r="2" ht="45.75" customHeight="1">
      <c r="A2" s="4" t="s">
        <v>221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223</v>
      </c>
      <c r="B5" s="2"/>
      <c r="C5" s="2"/>
      <c r="D5" s="2"/>
      <c r="E5" s="2"/>
      <c r="F5" s="2"/>
      <c r="G5" s="2"/>
      <c r="H5" s="3"/>
    </row>
    <row r="6" ht="18.0" customHeight="1">
      <c r="A6" s="9" t="s">
        <v>14</v>
      </c>
      <c r="B6" s="2"/>
      <c r="C6" s="2"/>
      <c r="D6" s="2"/>
      <c r="E6" s="2"/>
      <c r="F6" s="2"/>
      <c r="G6" s="2"/>
      <c r="H6" s="3"/>
    </row>
    <row r="7" ht="6.0" customHeight="1"/>
    <row r="8" ht="19.5" customHeight="1">
      <c r="A8" s="6" t="s">
        <v>18</v>
      </c>
      <c r="B8" s="2"/>
      <c r="C8" s="2"/>
      <c r="D8" s="2"/>
      <c r="E8" s="2"/>
      <c r="F8" s="2"/>
      <c r="G8" s="2"/>
      <c r="H8" s="3"/>
    </row>
    <row r="9">
      <c r="A9" s="5" t="s">
        <v>19</v>
      </c>
      <c r="B9" s="5" t="s">
        <v>20</v>
      </c>
      <c r="C9" s="11" t="s">
        <v>21</v>
      </c>
      <c r="D9" s="12"/>
      <c r="E9" s="12"/>
      <c r="F9" s="12"/>
      <c r="G9" s="12"/>
      <c r="H9" s="13"/>
    </row>
    <row r="10" ht="30.0" customHeight="1">
      <c r="A10" s="15" t="s">
        <v>24</v>
      </c>
      <c r="B10" s="16">
        <f>'Global Assumptions'!$B$6</f>
        <v>258</v>
      </c>
      <c r="C10" s="17" t="s">
        <v>41</v>
      </c>
    </row>
    <row r="11" ht="4.5" customHeight="1"/>
    <row r="12" ht="30.0" customHeight="1">
      <c r="A12" s="15" t="s">
        <v>232</v>
      </c>
      <c r="B12" s="16">
        <v>6.0</v>
      </c>
      <c r="C12" s="17" t="s">
        <v>233</v>
      </c>
    </row>
    <row r="13" ht="30.0" customHeight="1">
      <c r="A13" s="15" t="s">
        <v>234</v>
      </c>
      <c r="B13" s="16">
        <v>2.0</v>
      </c>
      <c r="C13" s="17" t="s">
        <v>233</v>
      </c>
    </row>
    <row r="14" ht="30.0" customHeight="1">
      <c r="A14" s="15" t="s">
        <v>235</v>
      </c>
      <c r="B14" s="16">
        <v>6.0</v>
      </c>
      <c r="C14" s="17" t="s">
        <v>233</v>
      </c>
    </row>
    <row r="15" ht="30.0" customHeight="1">
      <c r="A15" s="15" t="s">
        <v>236</v>
      </c>
      <c r="B15" s="16">
        <v>2.0</v>
      </c>
      <c r="C15" s="17" t="s">
        <v>233</v>
      </c>
    </row>
    <row r="16" ht="30.0" customHeight="1">
      <c r="A16" s="15" t="s">
        <v>237</v>
      </c>
      <c r="B16" s="34">
        <v>5.0</v>
      </c>
      <c r="C16" s="17" t="s">
        <v>238</v>
      </c>
    </row>
    <row r="18" ht="19.5" customHeight="1">
      <c r="A18" s="6" t="s">
        <v>195</v>
      </c>
      <c r="B18" s="2"/>
      <c r="C18" s="2"/>
      <c r="D18" s="2"/>
      <c r="E18" s="2"/>
      <c r="F18" s="2"/>
      <c r="G18" s="2"/>
      <c r="H18" s="3"/>
    </row>
    <row r="19" ht="15.75" customHeight="1">
      <c r="A19" s="24" t="s">
        <v>196</v>
      </c>
      <c r="B19" s="2"/>
      <c r="C19" s="2"/>
      <c r="D19" s="2"/>
      <c r="E19" s="2"/>
      <c r="F19" s="2"/>
      <c r="G19" s="2"/>
      <c r="H19" s="3"/>
    </row>
    <row r="20" ht="33.75" customHeight="1">
      <c r="A20" s="25" t="s">
        <v>108</v>
      </c>
      <c r="B20" s="25" t="s">
        <v>239</v>
      </c>
      <c r="C20" s="25" t="s">
        <v>240</v>
      </c>
      <c r="D20" s="25" t="s">
        <v>241</v>
      </c>
      <c r="E20" s="25" t="s">
        <v>115</v>
      </c>
      <c r="F20" s="25" t="s">
        <v>242</v>
      </c>
      <c r="G20" s="25" t="s">
        <v>243</v>
      </c>
      <c r="H20" s="25" t="s">
        <v>116</v>
      </c>
    </row>
    <row r="21" ht="15.75" customHeight="1">
      <c r="A21" s="26" t="s">
        <v>244</v>
      </c>
      <c r="B21" s="27">
        <v>1.0</v>
      </c>
      <c r="C21" s="27">
        <v>1.0</v>
      </c>
      <c r="D21" s="27" t="s">
        <v>245</v>
      </c>
      <c r="E21" s="30"/>
      <c r="F21" s="29">
        <f t="shared" ref="F21:F30" si="1">IF($A21="","",IF($B21&gt;0,$B$12+MAX(0,$B21-1)*$B$13,0)+IF($C21&gt;0,$B$14+MAX(0,$C21-1)*$B$15,0))</f>
        <v>12</v>
      </c>
      <c r="G21" s="29">
        <f t="shared" ref="G21:G30" si="2">IF($A21="","",IF($D21="Y",$B$16,0))</f>
        <v>0</v>
      </c>
      <c r="H21" s="29">
        <f t="shared" ref="H21:H30" si="3">IF($A21="","",$F21+$G21)</f>
        <v>12</v>
      </c>
    </row>
    <row r="22" ht="15.75" customHeight="1">
      <c r="A22" s="26"/>
      <c r="B22" s="27"/>
      <c r="C22" s="27"/>
      <c r="D22" s="27"/>
      <c r="E22" s="30"/>
      <c r="F22" s="29" t="str">
        <f t="shared" si="1"/>
        <v/>
      </c>
      <c r="G22" s="29" t="str">
        <f t="shared" si="2"/>
        <v/>
      </c>
      <c r="H22" s="29" t="str">
        <f t="shared" si="3"/>
        <v/>
      </c>
    </row>
    <row r="23" ht="15.75" customHeight="1">
      <c r="A23" s="26"/>
      <c r="B23" s="27"/>
      <c r="C23" s="27"/>
      <c r="D23" s="27"/>
      <c r="E23" s="30"/>
      <c r="F23" s="29" t="str">
        <f t="shared" si="1"/>
        <v/>
      </c>
      <c r="G23" s="29" t="str">
        <f t="shared" si="2"/>
        <v/>
      </c>
      <c r="H23" s="29" t="str">
        <f t="shared" si="3"/>
        <v/>
      </c>
    </row>
    <row r="24" ht="15.75" customHeight="1">
      <c r="A24" s="26"/>
      <c r="B24" s="27"/>
      <c r="C24" s="27"/>
      <c r="D24" s="27"/>
      <c r="E24" s="30"/>
      <c r="F24" s="29" t="str">
        <f t="shared" si="1"/>
        <v/>
      </c>
      <c r="G24" s="29" t="str">
        <f t="shared" si="2"/>
        <v/>
      </c>
      <c r="H24" s="29" t="str">
        <f t="shared" si="3"/>
        <v/>
      </c>
    </row>
    <row r="25" ht="15.75" customHeight="1">
      <c r="A25" s="26"/>
      <c r="B25" s="27"/>
      <c r="C25" s="27"/>
      <c r="D25" s="27"/>
      <c r="E25" s="30"/>
      <c r="F25" s="29" t="str">
        <f t="shared" si="1"/>
        <v/>
      </c>
      <c r="G25" s="29" t="str">
        <f t="shared" si="2"/>
        <v/>
      </c>
      <c r="H25" s="29" t="str">
        <f t="shared" si="3"/>
        <v/>
      </c>
    </row>
    <row r="26" ht="15.75" customHeight="1">
      <c r="A26" s="26"/>
      <c r="B26" s="27"/>
      <c r="C26" s="27"/>
      <c r="D26" s="27"/>
      <c r="E26" s="30"/>
      <c r="F26" s="29" t="str">
        <f t="shared" si="1"/>
        <v/>
      </c>
      <c r="G26" s="29" t="str">
        <f t="shared" si="2"/>
        <v/>
      </c>
      <c r="H26" s="29" t="str">
        <f t="shared" si="3"/>
        <v/>
      </c>
    </row>
    <row r="27" ht="15.75" customHeight="1">
      <c r="A27" s="26"/>
      <c r="B27" s="27"/>
      <c r="C27" s="27"/>
      <c r="D27" s="27"/>
      <c r="E27" s="30"/>
      <c r="F27" s="29" t="str">
        <f t="shared" si="1"/>
        <v/>
      </c>
      <c r="G27" s="29" t="str">
        <f t="shared" si="2"/>
        <v/>
      </c>
      <c r="H27" s="29" t="str">
        <f t="shared" si="3"/>
        <v/>
      </c>
    </row>
    <row r="28" ht="15.75" customHeight="1">
      <c r="A28" s="26"/>
      <c r="B28" s="27"/>
      <c r="C28" s="27"/>
      <c r="D28" s="27"/>
      <c r="E28" s="30"/>
      <c r="F28" s="29" t="str">
        <f t="shared" si="1"/>
        <v/>
      </c>
      <c r="G28" s="29" t="str">
        <f t="shared" si="2"/>
        <v/>
      </c>
      <c r="H28" s="29" t="str">
        <f t="shared" si="3"/>
        <v/>
      </c>
    </row>
    <row r="29" ht="15.75" customHeight="1">
      <c r="A29" s="26"/>
      <c r="B29" s="27"/>
      <c r="C29" s="27"/>
      <c r="D29" s="27"/>
      <c r="E29" s="30"/>
      <c r="F29" s="29" t="str">
        <f t="shared" si="1"/>
        <v/>
      </c>
      <c r="G29" s="29" t="str">
        <f t="shared" si="2"/>
        <v/>
      </c>
      <c r="H29" s="29" t="str">
        <f t="shared" si="3"/>
        <v/>
      </c>
    </row>
    <row r="30" ht="15.75" customHeight="1">
      <c r="A30" s="26"/>
      <c r="B30" s="27"/>
      <c r="C30" s="27"/>
      <c r="D30" s="27"/>
      <c r="E30" s="30"/>
      <c r="F30" s="29" t="str">
        <f t="shared" si="1"/>
        <v/>
      </c>
      <c r="G30" s="29" t="str">
        <f t="shared" si="2"/>
        <v/>
      </c>
      <c r="H30" s="29" t="str">
        <f t="shared" si="3"/>
        <v/>
      </c>
    </row>
    <row r="31" ht="15.75" customHeight="1">
      <c r="A31" s="33" t="s">
        <v>159</v>
      </c>
      <c r="B31" s="35">
        <f t="shared" ref="B31:C31" si="4">SUM(B21:B30)</f>
        <v>1</v>
      </c>
      <c r="C31" s="35">
        <f t="shared" si="4"/>
        <v>1</v>
      </c>
      <c r="D31" s="36"/>
      <c r="E31" s="36"/>
      <c r="F31" s="37">
        <f t="shared" ref="F31:H31" si="5">SUM(F21:F30)</f>
        <v>12</v>
      </c>
      <c r="G31" s="37">
        <f t="shared" si="5"/>
        <v>0</v>
      </c>
      <c r="H31" s="37">
        <f t="shared" si="5"/>
        <v>12</v>
      </c>
    </row>
    <row r="32" ht="15.75" customHeight="1"/>
    <row r="33" ht="18.0" customHeight="1">
      <c r="A33" s="6" t="s">
        <v>170</v>
      </c>
      <c r="B33" s="2"/>
      <c r="C33" s="2"/>
      <c r="D33" s="2"/>
      <c r="E33" s="2"/>
      <c r="F33" s="2"/>
      <c r="G33" s="2"/>
      <c r="H33" s="3"/>
    </row>
    <row r="34" ht="15.75" customHeight="1">
      <c r="A34" s="39" t="s">
        <v>173</v>
      </c>
      <c r="B34" s="40">
        <f>$H$31</f>
        <v>12</v>
      </c>
      <c r="C34" s="21"/>
      <c r="D34" s="21"/>
      <c r="E34" s="21"/>
      <c r="F34" s="21"/>
      <c r="G34" s="21"/>
      <c r="H34" s="21"/>
    </row>
    <row r="35" ht="15.75" customHeight="1">
      <c r="A35" s="39" t="s">
        <v>174</v>
      </c>
      <c r="B35" s="40">
        <f>IF($B$34=0,0,$B$34*'Global Assumptions'!$B$7)</f>
        <v>4.2</v>
      </c>
      <c r="C35" s="41"/>
      <c r="D35" s="2"/>
      <c r="E35" s="2"/>
      <c r="F35" s="2"/>
      <c r="G35" s="2"/>
      <c r="H35" s="3"/>
    </row>
    <row r="36" ht="15.75" customHeight="1">
      <c r="A36" s="39" t="s">
        <v>176</v>
      </c>
      <c r="B36" s="27" t="s">
        <v>177</v>
      </c>
      <c r="C36" s="21"/>
      <c r="D36" s="21"/>
      <c r="E36" s="21"/>
      <c r="F36" s="21"/>
      <c r="G36" s="21"/>
      <c r="H36" s="21"/>
    </row>
    <row r="37" ht="15.75" customHeight="1">
      <c r="A37" s="39" t="s">
        <v>178</v>
      </c>
      <c r="B37" s="40">
        <f>($B$34+$B$35)*IF($B$36="5-7 weeks",'Global Assumptions'!$B$11,IF($B$36="3-4 weeks",'Global Assumptions'!$B$12,IF($B$36="&lt;3 weeks",'Global Assumptions'!$B$13,'Global Assumptions'!$B$10)))</f>
        <v>16.2</v>
      </c>
      <c r="C37" s="21"/>
      <c r="D37" s="21"/>
      <c r="E37" s="21"/>
      <c r="F37" s="21"/>
      <c r="G37" s="21"/>
      <c r="H37" s="21"/>
    </row>
    <row r="38" ht="15.75" customHeight="1">
      <c r="A38" s="39" t="s">
        <v>180</v>
      </c>
      <c r="B38" s="42">
        <f>$B$37*'Global Assumptions'!$B$6</f>
        <v>4179.6</v>
      </c>
      <c r="C38" s="21"/>
      <c r="D38" s="21"/>
      <c r="E38" s="21"/>
      <c r="F38" s="21"/>
      <c r="G38" s="21"/>
      <c r="H38" s="21"/>
    </row>
    <row r="39" ht="15.75" customHeight="1"/>
    <row r="40" ht="30.0" customHeight="1">
      <c r="A40" s="43" t="s">
        <v>257</v>
      </c>
      <c r="B40" s="2"/>
      <c r="C40" s="2"/>
      <c r="D40" s="2"/>
      <c r="E40" s="2"/>
      <c r="F40" s="2"/>
      <c r="G40" s="2"/>
      <c r="H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H1"/>
    <mergeCell ref="A2:H2"/>
    <mergeCell ref="A4:H4"/>
    <mergeCell ref="A5:H5"/>
    <mergeCell ref="A6:H6"/>
    <mergeCell ref="A8:H8"/>
    <mergeCell ref="C9:H9"/>
    <mergeCell ref="A19:H19"/>
    <mergeCell ref="A33:H33"/>
    <mergeCell ref="C35:H35"/>
    <mergeCell ref="A40:H40"/>
    <mergeCell ref="C10:H10"/>
    <mergeCell ref="C12:H12"/>
    <mergeCell ref="C13:H13"/>
    <mergeCell ref="C14:H14"/>
    <mergeCell ref="C15:H15"/>
    <mergeCell ref="C16:H16"/>
    <mergeCell ref="A18:H18"/>
  </mergeCells>
  <dataValidations>
    <dataValidation type="list" allowBlank="1" sqref="D21:D30">
      <formula1>"Y,N"</formula1>
    </dataValidation>
    <dataValidation type="list" allowBlank="1" sqref="B36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4" width="12.0"/>
    <col customWidth="1" min="5" max="5" width="10.0"/>
    <col customWidth="1" min="6" max="6" width="12.0"/>
    <col customWidth="1" min="7" max="7" width="10.0"/>
    <col customWidth="1" min="8" max="8" width="12.0"/>
    <col customWidth="1" min="9" max="26" width="8.71"/>
  </cols>
  <sheetData>
    <row r="1" ht="27.75" customHeight="1">
      <c r="A1" s="1" t="s">
        <v>249</v>
      </c>
      <c r="B1" s="2"/>
      <c r="C1" s="2"/>
      <c r="D1" s="2"/>
      <c r="E1" s="2"/>
      <c r="F1" s="2"/>
      <c r="G1" s="2"/>
      <c r="H1" s="3"/>
    </row>
    <row r="2" ht="45.75" customHeight="1">
      <c r="A2" s="4" t="s">
        <v>250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252</v>
      </c>
      <c r="B5" s="2"/>
      <c r="C5" s="2"/>
      <c r="D5" s="2"/>
      <c r="E5" s="2"/>
      <c r="F5" s="2"/>
      <c r="G5" s="2"/>
      <c r="H5" s="3"/>
    </row>
    <row r="6" ht="31.5" customHeight="1">
      <c r="A6" s="14" t="s">
        <v>253</v>
      </c>
      <c r="B6" s="2"/>
      <c r="C6" s="2"/>
      <c r="D6" s="2"/>
      <c r="E6" s="2"/>
      <c r="F6" s="2"/>
      <c r="G6" s="2"/>
      <c r="H6" s="3"/>
    </row>
    <row r="7" ht="18.0" customHeight="1">
      <c r="A7" s="9" t="s">
        <v>14</v>
      </c>
      <c r="B7" s="2"/>
      <c r="C7" s="2"/>
      <c r="D7" s="2"/>
      <c r="E7" s="2"/>
      <c r="F7" s="2"/>
      <c r="G7" s="2"/>
      <c r="H7" s="3"/>
    </row>
    <row r="8" ht="6.0" customHeight="1"/>
    <row r="9" ht="19.5" customHeight="1">
      <c r="A9" s="6" t="s">
        <v>18</v>
      </c>
      <c r="B9" s="2"/>
      <c r="C9" s="2"/>
      <c r="D9" s="2"/>
      <c r="E9" s="2"/>
      <c r="F9" s="2"/>
      <c r="G9" s="2"/>
      <c r="H9" s="3"/>
    </row>
    <row r="10">
      <c r="A10" s="5" t="s">
        <v>19</v>
      </c>
      <c r="B10" s="5" t="s">
        <v>20</v>
      </c>
      <c r="C10" s="11" t="s">
        <v>21</v>
      </c>
      <c r="D10" s="12"/>
      <c r="E10" s="12"/>
      <c r="F10" s="12"/>
      <c r="G10" s="12"/>
      <c r="H10" s="13"/>
    </row>
    <row r="11" ht="30.0" customHeight="1">
      <c r="A11" s="15" t="s">
        <v>24</v>
      </c>
      <c r="B11" s="16">
        <f>'Global Assumptions'!$B$6</f>
        <v>258</v>
      </c>
      <c r="C11" s="17" t="s">
        <v>41</v>
      </c>
    </row>
    <row r="12" ht="4.5" customHeight="1"/>
    <row r="13" ht="30.0" customHeight="1">
      <c r="A13" s="15" t="s">
        <v>256</v>
      </c>
      <c r="B13" s="16">
        <v>5.0</v>
      </c>
      <c r="C13" s="17" t="s">
        <v>258</v>
      </c>
    </row>
    <row r="14" ht="30.0" customHeight="1">
      <c r="A14" s="15" t="s">
        <v>260</v>
      </c>
      <c r="B14" s="16">
        <v>15.0</v>
      </c>
      <c r="C14" s="17" t="s">
        <v>261</v>
      </c>
    </row>
    <row r="16" ht="19.5" customHeight="1">
      <c r="A16" s="6" t="s">
        <v>165</v>
      </c>
      <c r="B16" s="2"/>
      <c r="C16" s="2"/>
      <c r="D16" s="2"/>
      <c r="E16" s="2"/>
      <c r="F16" s="2"/>
      <c r="G16" s="2"/>
      <c r="H16" s="3"/>
    </row>
    <row r="17" ht="27.75" customHeight="1">
      <c r="A17" s="24" t="s">
        <v>264</v>
      </c>
      <c r="B17" s="2"/>
      <c r="C17" s="2"/>
      <c r="D17" s="2"/>
      <c r="E17" s="2"/>
      <c r="F17" s="2"/>
      <c r="G17" s="2"/>
      <c r="H17" s="3"/>
    </row>
    <row r="18" ht="33.75" customHeight="1">
      <c r="A18" s="25" t="s">
        <v>108</v>
      </c>
      <c r="B18" s="25" t="s">
        <v>265</v>
      </c>
      <c r="C18" s="25" t="s">
        <v>115</v>
      </c>
      <c r="D18" s="25" t="s">
        <v>115</v>
      </c>
      <c r="E18" s="25" t="s">
        <v>115</v>
      </c>
      <c r="F18" s="25" t="s">
        <v>266</v>
      </c>
      <c r="G18" s="25" t="s">
        <v>267</v>
      </c>
      <c r="H18" s="25" t="s">
        <v>116</v>
      </c>
    </row>
    <row r="19">
      <c r="A19" s="26" t="s">
        <v>268</v>
      </c>
      <c r="B19" s="27" t="s">
        <v>269</v>
      </c>
      <c r="C19" s="30"/>
      <c r="D19" s="30"/>
      <c r="E19" s="30"/>
      <c r="F19" s="29">
        <f t="shared" ref="F19:F28" si="1">IF($A19="","",IF($B19="Tier 2 — Enable + procedures/config",$B$14,$B$13))</f>
        <v>5</v>
      </c>
      <c r="G19" s="29">
        <f>IF($A19="","",IF($B19="Tier 2 — Enable + procedures/config",$F19*'Global Assumptions'!$B$7,0))</f>
        <v>0</v>
      </c>
      <c r="H19" s="29">
        <f t="shared" ref="H19:H28" si="2">IF($A19="","",$F19+$G19)</f>
        <v>5</v>
      </c>
    </row>
    <row r="20">
      <c r="A20" s="26"/>
      <c r="B20" s="27"/>
      <c r="C20" s="30"/>
      <c r="D20" s="30"/>
      <c r="E20" s="30"/>
      <c r="F20" s="29" t="str">
        <f t="shared" si="1"/>
        <v/>
      </c>
      <c r="G20" s="29" t="str">
        <f>IF($A20="","",IF($B20="Tier 2 — Enable + procedures/config",$F20*'Global Assumptions'!$B$7,0))</f>
        <v/>
      </c>
      <c r="H20" s="29" t="str">
        <f t="shared" si="2"/>
        <v/>
      </c>
    </row>
    <row r="21" ht="15.75" customHeight="1">
      <c r="A21" s="26"/>
      <c r="B21" s="27"/>
      <c r="C21" s="30"/>
      <c r="D21" s="30"/>
      <c r="E21" s="30"/>
      <c r="F21" s="29" t="str">
        <f t="shared" si="1"/>
        <v/>
      </c>
      <c r="G21" s="29" t="str">
        <f>IF($A21="","",IF($B21="Tier 2 — Enable + procedures/config",$F21*'Global Assumptions'!$B$7,0))</f>
        <v/>
      </c>
      <c r="H21" s="29" t="str">
        <f t="shared" si="2"/>
        <v/>
      </c>
    </row>
    <row r="22" ht="15.75" customHeight="1">
      <c r="A22" s="26"/>
      <c r="B22" s="27"/>
      <c r="C22" s="30"/>
      <c r="D22" s="30"/>
      <c r="E22" s="30"/>
      <c r="F22" s="29" t="str">
        <f t="shared" si="1"/>
        <v/>
      </c>
      <c r="G22" s="29" t="str">
        <f>IF($A22="","",IF($B22="Tier 2 — Enable + procedures/config",$F22*'Global Assumptions'!$B$7,0))</f>
        <v/>
      </c>
      <c r="H22" s="29" t="str">
        <f t="shared" si="2"/>
        <v/>
      </c>
    </row>
    <row r="23" ht="15.75" customHeight="1">
      <c r="A23" s="26"/>
      <c r="B23" s="27"/>
      <c r="C23" s="30"/>
      <c r="D23" s="30"/>
      <c r="E23" s="30"/>
      <c r="F23" s="29" t="str">
        <f t="shared" si="1"/>
        <v/>
      </c>
      <c r="G23" s="29" t="str">
        <f>IF($A23="","",IF($B23="Tier 2 — Enable + procedures/config",$F23*'Global Assumptions'!$B$7,0))</f>
        <v/>
      </c>
      <c r="H23" s="29" t="str">
        <f t="shared" si="2"/>
        <v/>
      </c>
    </row>
    <row r="24" ht="15.75" customHeight="1">
      <c r="A24" s="26"/>
      <c r="B24" s="27"/>
      <c r="C24" s="30"/>
      <c r="D24" s="30"/>
      <c r="E24" s="30"/>
      <c r="F24" s="29" t="str">
        <f t="shared" si="1"/>
        <v/>
      </c>
      <c r="G24" s="29" t="str">
        <f>IF($A24="","",IF($B24="Tier 2 — Enable + procedures/config",$F24*'Global Assumptions'!$B$7,0))</f>
        <v/>
      </c>
      <c r="H24" s="29" t="str">
        <f t="shared" si="2"/>
        <v/>
      </c>
    </row>
    <row r="25" ht="15.75" customHeight="1">
      <c r="A25" s="26"/>
      <c r="B25" s="27"/>
      <c r="C25" s="30"/>
      <c r="D25" s="30"/>
      <c r="E25" s="30"/>
      <c r="F25" s="29" t="str">
        <f t="shared" si="1"/>
        <v/>
      </c>
      <c r="G25" s="29" t="str">
        <f>IF($A25="","",IF($B25="Tier 2 — Enable + procedures/config",$F25*'Global Assumptions'!$B$7,0))</f>
        <v/>
      </c>
      <c r="H25" s="29" t="str">
        <f t="shared" si="2"/>
        <v/>
      </c>
    </row>
    <row r="26" ht="15.75" customHeight="1">
      <c r="A26" s="26"/>
      <c r="B26" s="27"/>
      <c r="C26" s="30"/>
      <c r="D26" s="30"/>
      <c r="E26" s="30"/>
      <c r="F26" s="29" t="str">
        <f t="shared" si="1"/>
        <v/>
      </c>
      <c r="G26" s="29" t="str">
        <f>IF($A26="","",IF($B26="Tier 2 — Enable + procedures/config",$F26*'Global Assumptions'!$B$7,0))</f>
        <v/>
      </c>
      <c r="H26" s="29" t="str">
        <f t="shared" si="2"/>
        <v/>
      </c>
    </row>
    <row r="27" ht="15.75" customHeight="1">
      <c r="A27" s="26"/>
      <c r="B27" s="27"/>
      <c r="C27" s="30"/>
      <c r="D27" s="30"/>
      <c r="E27" s="30"/>
      <c r="F27" s="29" t="str">
        <f t="shared" si="1"/>
        <v/>
      </c>
      <c r="G27" s="29" t="str">
        <f>IF($A27="","",IF($B27="Tier 2 — Enable + procedures/config",$F27*'Global Assumptions'!$B$7,0))</f>
        <v/>
      </c>
      <c r="H27" s="29" t="str">
        <f t="shared" si="2"/>
        <v/>
      </c>
    </row>
    <row r="28" ht="15.75" customHeight="1">
      <c r="A28" s="26"/>
      <c r="B28" s="27"/>
      <c r="C28" s="30"/>
      <c r="D28" s="30"/>
      <c r="E28" s="30"/>
      <c r="F28" s="29" t="str">
        <f t="shared" si="1"/>
        <v/>
      </c>
      <c r="G28" s="29" t="str">
        <f>IF($A28="","",IF($B28="Tier 2 — Enable + procedures/config",$F28*'Global Assumptions'!$B$7,0))</f>
        <v/>
      </c>
      <c r="H28" s="29" t="str">
        <f t="shared" si="2"/>
        <v/>
      </c>
    </row>
    <row r="29" ht="15.75" customHeight="1">
      <c r="A29" s="33" t="s">
        <v>159</v>
      </c>
      <c r="B29" s="36"/>
      <c r="C29" s="36"/>
      <c r="D29" s="36"/>
      <c r="E29" s="36"/>
      <c r="F29" s="37">
        <f t="shared" ref="F29:H29" si="3">SUM(F19:F28)</f>
        <v>5</v>
      </c>
      <c r="G29" s="37">
        <f t="shared" si="3"/>
        <v>0</v>
      </c>
      <c r="H29" s="37">
        <f t="shared" si="3"/>
        <v>5</v>
      </c>
    </row>
    <row r="30" ht="15.75" customHeight="1"/>
    <row r="31" ht="18.0" customHeight="1">
      <c r="A31" s="6" t="s">
        <v>170</v>
      </c>
      <c r="B31" s="2"/>
      <c r="C31" s="2"/>
      <c r="D31" s="2"/>
      <c r="E31" s="2"/>
      <c r="F31" s="2"/>
      <c r="G31" s="2"/>
      <c r="H31" s="3"/>
    </row>
    <row r="32" ht="15.75" customHeight="1">
      <c r="A32" s="39" t="s">
        <v>295</v>
      </c>
      <c r="B32" s="40">
        <f>$H$29</f>
        <v>5</v>
      </c>
      <c r="C32" s="21"/>
      <c r="D32" s="21"/>
      <c r="E32" s="21"/>
      <c r="F32" s="21"/>
      <c r="G32" s="21"/>
      <c r="H32" s="21"/>
    </row>
    <row r="33" ht="15.75" customHeight="1">
      <c r="A33" s="39" t="s">
        <v>176</v>
      </c>
      <c r="B33" s="27" t="s">
        <v>177</v>
      </c>
      <c r="C33" s="21"/>
      <c r="D33" s="21"/>
      <c r="E33" s="21"/>
      <c r="F33" s="21"/>
      <c r="G33" s="21"/>
      <c r="H33" s="21"/>
    </row>
    <row r="34" ht="15.75" customHeight="1">
      <c r="A34" s="39" t="s">
        <v>248</v>
      </c>
      <c r="B34" s="40">
        <f>$B$32*IF($B$33="5-7 weeks",'Global Assumptions'!$B$11,IF($B$33="3-4 weeks",'Global Assumptions'!$B$12,IF($B$33="&lt;3 weeks",'Global Assumptions'!$B$13,'Global Assumptions'!$B$10)))</f>
        <v>5</v>
      </c>
      <c r="C34" s="21"/>
      <c r="D34" s="21"/>
      <c r="E34" s="21"/>
      <c r="F34" s="21"/>
      <c r="G34" s="21"/>
      <c r="H34" s="21"/>
    </row>
    <row r="35" ht="15.75" customHeight="1">
      <c r="A35" s="39" t="s">
        <v>180</v>
      </c>
      <c r="B35" s="42">
        <f>$B$34*'Global Assumptions'!$B$6</f>
        <v>1290</v>
      </c>
      <c r="C35" s="21"/>
      <c r="D35" s="21"/>
      <c r="E35" s="21"/>
      <c r="F35" s="21"/>
      <c r="G35" s="21"/>
      <c r="H35" s="21"/>
    </row>
    <row r="36" ht="15.75" customHeight="1"/>
    <row r="37" ht="19.5" customHeight="1">
      <c r="A37" s="43" t="s">
        <v>305</v>
      </c>
      <c r="B37" s="2"/>
      <c r="C37" s="2"/>
      <c r="D37" s="2"/>
      <c r="E37" s="2"/>
      <c r="F37" s="2"/>
      <c r="G37" s="2"/>
      <c r="H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0:H10"/>
    <mergeCell ref="C11:H11"/>
    <mergeCell ref="C13:H13"/>
    <mergeCell ref="C14:H14"/>
    <mergeCell ref="A16:H16"/>
    <mergeCell ref="A17:H17"/>
    <mergeCell ref="A31:H31"/>
    <mergeCell ref="A37:H37"/>
    <mergeCell ref="A1:H1"/>
    <mergeCell ref="A2:H2"/>
    <mergeCell ref="A4:H4"/>
    <mergeCell ref="A5:H5"/>
    <mergeCell ref="A6:H6"/>
    <mergeCell ref="A7:H7"/>
    <mergeCell ref="A9:H9"/>
  </mergeCells>
  <dataValidations>
    <dataValidation type="list" allowBlank="1" sqref="B33">
      <formula1>"Standard (7+ weeks),5-7 weeks,3-4 weeks,&lt;3 weeks"</formula1>
    </dataValidation>
    <dataValidation type="list" allowBlank="1" sqref="B19:B28">
      <formula1>"Tier 1 — Enable only,Tier 2 — Enable + procedures/config"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16.0"/>
    <col customWidth="1" min="4" max="5" width="12.0"/>
    <col customWidth="1" min="6" max="7" width="10.0"/>
    <col customWidth="1" min="8" max="8" width="12.0"/>
    <col customWidth="1" min="9" max="26" width="8.71"/>
  </cols>
  <sheetData>
    <row r="1" ht="27.75" customHeight="1">
      <c r="A1" s="1" t="s">
        <v>254</v>
      </c>
      <c r="B1" s="2"/>
      <c r="C1" s="2"/>
      <c r="D1" s="2"/>
      <c r="E1" s="2"/>
      <c r="F1" s="2"/>
      <c r="G1" s="2"/>
      <c r="H1" s="3"/>
    </row>
    <row r="2" ht="45.75" customHeight="1">
      <c r="A2" s="4" t="s">
        <v>255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259</v>
      </c>
      <c r="B5" s="2"/>
      <c r="C5" s="2"/>
      <c r="D5" s="2"/>
      <c r="E5" s="2"/>
      <c r="F5" s="2"/>
      <c r="G5" s="2"/>
      <c r="H5" s="3"/>
    </row>
    <row r="6" ht="18.0" customHeight="1">
      <c r="A6" s="14" t="s">
        <v>262</v>
      </c>
      <c r="B6" s="2"/>
      <c r="C6" s="2"/>
      <c r="D6" s="2"/>
      <c r="E6" s="2"/>
      <c r="F6" s="2"/>
      <c r="G6" s="2"/>
      <c r="H6" s="3"/>
    </row>
    <row r="7" ht="18.0" customHeight="1">
      <c r="A7" s="14" t="s">
        <v>263</v>
      </c>
      <c r="B7" s="2"/>
      <c r="C7" s="2"/>
      <c r="D7" s="2"/>
      <c r="E7" s="2"/>
      <c r="F7" s="2"/>
      <c r="G7" s="2"/>
      <c r="H7" s="3"/>
    </row>
    <row r="8" ht="18.0" customHeight="1">
      <c r="A8" s="9" t="s">
        <v>14</v>
      </c>
      <c r="B8" s="2"/>
      <c r="C8" s="2"/>
      <c r="D8" s="2"/>
      <c r="E8" s="2"/>
      <c r="F8" s="2"/>
      <c r="G8" s="2"/>
      <c r="H8" s="3"/>
    </row>
    <row r="9" ht="6.0" customHeight="1"/>
    <row r="10" ht="19.5" customHeight="1">
      <c r="A10" s="6" t="s">
        <v>18</v>
      </c>
      <c r="B10" s="2"/>
      <c r="C10" s="2"/>
      <c r="D10" s="2"/>
      <c r="E10" s="2"/>
      <c r="F10" s="2"/>
      <c r="G10" s="2"/>
      <c r="H10" s="3"/>
    </row>
    <row r="11">
      <c r="A11" s="5" t="s">
        <v>19</v>
      </c>
      <c r="B11" s="5" t="s">
        <v>20</v>
      </c>
      <c r="C11" s="11" t="s">
        <v>21</v>
      </c>
      <c r="D11" s="12"/>
      <c r="E11" s="12"/>
      <c r="F11" s="12"/>
      <c r="G11" s="12"/>
      <c r="H11" s="13"/>
    </row>
    <row r="12" ht="30.0" customHeight="1">
      <c r="A12" s="15" t="s">
        <v>24</v>
      </c>
      <c r="B12" s="16">
        <f>'Global Assumptions'!$B$6</f>
        <v>258</v>
      </c>
      <c r="C12" s="17" t="s">
        <v>41</v>
      </c>
    </row>
    <row r="13" ht="4.5" customHeight="1"/>
    <row r="14" ht="24.0" customHeight="1">
      <c r="A14" s="20" t="s">
        <v>270</v>
      </c>
      <c r="B14" s="21"/>
      <c r="C14" s="21"/>
      <c r="D14" s="21"/>
      <c r="E14" s="21"/>
      <c r="F14" s="21"/>
      <c r="G14" s="21"/>
      <c r="H14" s="21"/>
    </row>
    <row r="15" ht="30.0" customHeight="1">
      <c r="A15" s="15" t="s">
        <v>271</v>
      </c>
      <c r="B15" s="16">
        <v>8.0</v>
      </c>
      <c r="C15" s="17" t="s">
        <v>272</v>
      </c>
    </row>
    <row r="16" ht="30.0" customHeight="1">
      <c r="A16" s="15" t="s">
        <v>273</v>
      </c>
      <c r="B16" s="16">
        <v>8.0</v>
      </c>
      <c r="C16" s="17" t="s">
        <v>274</v>
      </c>
    </row>
    <row r="17" ht="30.0" customHeight="1">
      <c r="A17" s="15" t="s">
        <v>275</v>
      </c>
      <c r="B17" s="16">
        <v>5.0</v>
      </c>
      <c r="C17" s="17" t="s">
        <v>276</v>
      </c>
    </row>
    <row r="18" ht="30.0" customHeight="1">
      <c r="A18" s="15" t="s">
        <v>277</v>
      </c>
      <c r="B18" s="16">
        <v>5.0</v>
      </c>
      <c r="C18" s="17" t="s">
        <v>276</v>
      </c>
    </row>
    <row r="19" ht="4.5" customHeight="1"/>
    <row r="20" ht="24.0" customHeight="1">
      <c r="A20" s="20" t="s">
        <v>278</v>
      </c>
      <c r="B20" s="21"/>
      <c r="C20" s="21"/>
      <c r="D20" s="21"/>
      <c r="E20" s="21"/>
      <c r="F20" s="21"/>
      <c r="G20" s="21"/>
      <c r="H20" s="21"/>
    </row>
    <row r="21" ht="30.0" customHeight="1">
      <c r="A21" s="15" t="s">
        <v>279</v>
      </c>
      <c r="B21" s="16">
        <v>2.0</v>
      </c>
      <c r="C21" s="17" t="s">
        <v>276</v>
      </c>
    </row>
    <row r="22" ht="30.0" customHeight="1">
      <c r="A22" s="15" t="s">
        <v>280</v>
      </c>
      <c r="B22" s="16">
        <v>3.0</v>
      </c>
      <c r="C22" s="17" t="s">
        <v>276</v>
      </c>
    </row>
    <row r="23" ht="4.5" customHeight="1"/>
    <row r="24" ht="24.0" customHeight="1">
      <c r="A24" s="20" t="s">
        <v>138</v>
      </c>
      <c r="B24" s="21"/>
      <c r="C24" s="21"/>
      <c r="D24" s="21"/>
      <c r="E24" s="21"/>
      <c r="F24" s="21"/>
      <c r="G24" s="21"/>
      <c r="H24" s="21"/>
    </row>
    <row r="25" ht="30.0" customHeight="1">
      <c r="A25" s="15" t="s">
        <v>281</v>
      </c>
      <c r="B25" s="16">
        <v>3.0</v>
      </c>
      <c r="C25" s="17" t="s">
        <v>276</v>
      </c>
    </row>
    <row r="26" ht="30.0" customHeight="1">
      <c r="A26" s="15" t="s">
        <v>282</v>
      </c>
      <c r="B26" s="16">
        <v>3.0</v>
      </c>
      <c r="C26" s="17" t="s">
        <v>276</v>
      </c>
    </row>
    <row r="27" ht="4.5" customHeight="1"/>
    <row r="28" ht="24.0" customHeight="1">
      <c r="A28" s="20" t="s">
        <v>283</v>
      </c>
      <c r="B28" s="21"/>
      <c r="C28" s="21"/>
      <c r="D28" s="21"/>
      <c r="E28" s="21"/>
      <c r="F28" s="21"/>
      <c r="G28" s="21"/>
      <c r="H28" s="21"/>
    </row>
    <row r="29" ht="30.0" customHeight="1">
      <c r="A29" s="15" t="s">
        <v>284</v>
      </c>
      <c r="B29" s="16">
        <v>40.0</v>
      </c>
      <c r="C29" s="17" t="s">
        <v>285</v>
      </c>
    </row>
    <row r="30" ht="15.75" customHeight="1"/>
    <row r="31" ht="19.5" customHeight="1">
      <c r="A31" s="6" t="s">
        <v>93</v>
      </c>
      <c r="B31" s="2"/>
      <c r="C31" s="2"/>
      <c r="D31" s="2"/>
      <c r="E31" s="2"/>
      <c r="F31" s="2"/>
      <c r="G31" s="2"/>
      <c r="H31" s="3"/>
    </row>
    <row r="32" ht="15.75" customHeight="1">
      <c r="A32" s="24" t="s">
        <v>100</v>
      </c>
      <c r="B32" s="2"/>
      <c r="C32" s="2"/>
      <c r="D32" s="2"/>
      <c r="E32" s="2"/>
      <c r="F32" s="2"/>
      <c r="G32" s="2"/>
      <c r="H32" s="3"/>
    </row>
    <row r="33" ht="33.75" customHeight="1">
      <c r="A33" s="25" t="s">
        <v>108</v>
      </c>
      <c r="B33" s="25" t="s">
        <v>286</v>
      </c>
      <c r="C33" s="25" t="s">
        <v>287</v>
      </c>
      <c r="D33" s="25" t="s">
        <v>288</v>
      </c>
      <c r="E33" s="25" t="s">
        <v>151</v>
      </c>
      <c r="F33" s="25" t="s">
        <v>267</v>
      </c>
      <c r="G33" s="25" t="s">
        <v>115</v>
      </c>
      <c r="H33" s="25" t="s">
        <v>116</v>
      </c>
    </row>
    <row r="34" ht="15.75" customHeight="1">
      <c r="A34" s="26" t="s">
        <v>289</v>
      </c>
      <c r="B34" s="27">
        <v>2.0</v>
      </c>
      <c r="C34" s="27">
        <v>3.0</v>
      </c>
      <c r="D34" s="29">
        <f t="shared" ref="D34:D43" si="1">IF($A34="","",$B$15+$B$16+$B$17+$B$18)</f>
        <v>26</v>
      </c>
      <c r="E34" s="29">
        <f t="shared" ref="E34:E43" si="2">IF($A34="","",MAX(0,$B34-$B$21)*$B$25+MAX(0,$C34-$B$22)*$B$26)</f>
        <v>0</v>
      </c>
      <c r="F34" s="29">
        <f>IF($A34="","",IF(($D34+$E34)&gt;$B$29,($D34+$E34)*'Global Assumptions'!$B$7,0))</f>
        <v>0</v>
      </c>
      <c r="G34" s="30"/>
      <c r="H34" s="29">
        <f t="shared" ref="H34:H43" si="3">IF($A34="","",$D34+$E34+$F34)</f>
        <v>26</v>
      </c>
    </row>
    <row r="35" ht="15.75" customHeight="1">
      <c r="A35" s="26"/>
      <c r="B35" s="27"/>
      <c r="C35" s="27"/>
      <c r="D35" s="29" t="str">
        <f t="shared" si="1"/>
        <v/>
      </c>
      <c r="E35" s="29" t="str">
        <f t="shared" si="2"/>
        <v/>
      </c>
      <c r="F35" s="29" t="str">
        <f>IF($A35="","",IF(($D35+$E35)&gt;$B$29,($D35+$E35)*'Global Assumptions'!$B$7,0))</f>
        <v/>
      </c>
      <c r="G35" s="30"/>
      <c r="H35" s="29" t="str">
        <f t="shared" si="3"/>
        <v/>
      </c>
    </row>
    <row r="36" ht="15.75" customHeight="1">
      <c r="A36" s="26"/>
      <c r="B36" s="27"/>
      <c r="C36" s="27"/>
      <c r="D36" s="29" t="str">
        <f t="shared" si="1"/>
        <v/>
      </c>
      <c r="E36" s="29" t="str">
        <f t="shared" si="2"/>
        <v/>
      </c>
      <c r="F36" s="29" t="str">
        <f>IF($A36="","",IF(($D36+$E36)&gt;$B$29,($D36+$E36)*'Global Assumptions'!$B$7,0))</f>
        <v/>
      </c>
      <c r="G36" s="30"/>
      <c r="H36" s="29" t="str">
        <f t="shared" si="3"/>
        <v/>
      </c>
    </row>
    <row r="37" ht="15.75" customHeight="1">
      <c r="A37" s="26"/>
      <c r="B37" s="27"/>
      <c r="C37" s="27"/>
      <c r="D37" s="29" t="str">
        <f t="shared" si="1"/>
        <v/>
      </c>
      <c r="E37" s="29" t="str">
        <f t="shared" si="2"/>
        <v/>
      </c>
      <c r="F37" s="29" t="str">
        <f>IF($A37="","",IF(($D37+$E37)&gt;$B$29,($D37+$E37)*'Global Assumptions'!$B$7,0))</f>
        <v/>
      </c>
      <c r="G37" s="30"/>
      <c r="H37" s="29" t="str">
        <f t="shared" si="3"/>
        <v/>
      </c>
    </row>
    <row r="38" ht="15.75" customHeight="1">
      <c r="A38" s="26"/>
      <c r="B38" s="27"/>
      <c r="C38" s="27"/>
      <c r="D38" s="29" t="str">
        <f t="shared" si="1"/>
        <v/>
      </c>
      <c r="E38" s="29" t="str">
        <f t="shared" si="2"/>
        <v/>
      </c>
      <c r="F38" s="29" t="str">
        <f>IF($A38="","",IF(($D38+$E38)&gt;$B$29,($D38+$E38)*'Global Assumptions'!$B$7,0))</f>
        <v/>
      </c>
      <c r="G38" s="30"/>
      <c r="H38" s="29" t="str">
        <f t="shared" si="3"/>
        <v/>
      </c>
    </row>
    <row r="39" ht="15.75" customHeight="1">
      <c r="A39" s="26"/>
      <c r="B39" s="27"/>
      <c r="C39" s="27"/>
      <c r="D39" s="29" t="str">
        <f t="shared" si="1"/>
        <v/>
      </c>
      <c r="E39" s="29" t="str">
        <f t="shared" si="2"/>
        <v/>
      </c>
      <c r="F39" s="29" t="str">
        <f>IF($A39="","",IF(($D39+$E39)&gt;$B$29,($D39+$E39)*'Global Assumptions'!$B$7,0))</f>
        <v/>
      </c>
      <c r="G39" s="30"/>
      <c r="H39" s="29" t="str">
        <f t="shared" si="3"/>
        <v/>
      </c>
    </row>
    <row r="40" ht="15.75" customHeight="1">
      <c r="A40" s="26"/>
      <c r="B40" s="27"/>
      <c r="C40" s="27"/>
      <c r="D40" s="29" t="str">
        <f t="shared" si="1"/>
        <v/>
      </c>
      <c r="E40" s="29" t="str">
        <f t="shared" si="2"/>
        <v/>
      </c>
      <c r="F40" s="29" t="str">
        <f>IF($A40="","",IF(($D40+$E40)&gt;$B$29,($D40+$E40)*'Global Assumptions'!$B$7,0))</f>
        <v/>
      </c>
      <c r="G40" s="30"/>
      <c r="H40" s="29" t="str">
        <f t="shared" si="3"/>
        <v/>
      </c>
    </row>
    <row r="41" ht="15.75" customHeight="1">
      <c r="A41" s="26"/>
      <c r="B41" s="27"/>
      <c r="C41" s="27"/>
      <c r="D41" s="29" t="str">
        <f t="shared" si="1"/>
        <v/>
      </c>
      <c r="E41" s="29" t="str">
        <f t="shared" si="2"/>
        <v/>
      </c>
      <c r="F41" s="29" t="str">
        <f>IF($A41="","",IF(($D41+$E41)&gt;$B$29,($D41+$E41)*'Global Assumptions'!$B$7,0))</f>
        <v/>
      </c>
      <c r="G41" s="30"/>
      <c r="H41" s="29" t="str">
        <f t="shared" si="3"/>
        <v/>
      </c>
    </row>
    <row r="42" ht="15.75" customHeight="1">
      <c r="A42" s="26"/>
      <c r="B42" s="27"/>
      <c r="C42" s="27"/>
      <c r="D42" s="29" t="str">
        <f t="shared" si="1"/>
        <v/>
      </c>
      <c r="E42" s="29" t="str">
        <f t="shared" si="2"/>
        <v/>
      </c>
      <c r="F42" s="29" t="str">
        <f>IF($A42="","",IF(($D42+$E42)&gt;$B$29,($D42+$E42)*'Global Assumptions'!$B$7,0))</f>
        <v/>
      </c>
      <c r="G42" s="30"/>
      <c r="H42" s="29" t="str">
        <f t="shared" si="3"/>
        <v/>
      </c>
    </row>
    <row r="43" ht="15.75" customHeight="1">
      <c r="A43" s="26"/>
      <c r="B43" s="27"/>
      <c r="C43" s="27"/>
      <c r="D43" s="29" t="str">
        <f t="shared" si="1"/>
        <v/>
      </c>
      <c r="E43" s="29" t="str">
        <f t="shared" si="2"/>
        <v/>
      </c>
      <c r="F43" s="29" t="str">
        <f>IF($A43="","",IF(($D43+$E43)&gt;$B$29,($D43+$E43)*'Global Assumptions'!$B$7,0))</f>
        <v/>
      </c>
      <c r="G43" s="30"/>
      <c r="H43" s="29" t="str">
        <f t="shared" si="3"/>
        <v/>
      </c>
    </row>
    <row r="44" ht="15.75" customHeight="1">
      <c r="A44" s="33" t="s">
        <v>159</v>
      </c>
      <c r="B44" s="35">
        <f t="shared" ref="B44:F44" si="4">SUM(B34:B43)</f>
        <v>2</v>
      </c>
      <c r="C44" s="35">
        <f t="shared" si="4"/>
        <v>3</v>
      </c>
      <c r="D44" s="37">
        <f t="shared" si="4"/>
        <v>26</v>
      </c>
      <c r="E44" s="37">
        <f t="shared" si="4"/>
        <v>0</v>
      </c>
      <c r="F44" s="37">
        <f t="shared" si="4"/>
        <v>0</v>
      </c>
      <c r="G44" s="36"/>
      <c r="H44" s="37">
        <f>SUM(H34:H43)</f>
        <v>26</v>
      </c>
    </row>
    <row r="45" ht="15.75" customHeight="1"/>
    <row r="46" ht="18.0" customHeight="1">
      <c r="A46" s="6" t="s">
        <v>326</v>
      </c>
      <c r="B46" s="2"/>
      <c r="C46" s="2"/>
      <c r="D46" s="2"/>
      <c r="E46" s="2"/>
      <c r="F46" s="2"/>
      <c r="G46" s="2"/>
      <c r="H46" s="3"/>
    </row>
    <row r="47" ht="15.75" customHeight="1">
      <c r="A47" s="39" t="s">
        <v>295</v>
      </c>
      <c r="B47" s="40">
        <f>$H$44</f>
        <v>26</v>
      </c>
      <c r="C47" s="21"/>
      <c r="D47" s="21"/>
      <c r="E47" s="21"/>
      <c r="F47" s="21"/>
      <c r="G47" s="21"/>
      <c r="H47" s="21"/>
    </row>
    <row r="48" ht="15.75" customHeight="1">
      <c r="A48" s="39" t="s">
        <v>176</v>
      </c>
      <c r="B48" s="27" t="s">
        <v>177</v>
      </c>
      <c r="C48" s="21"/>
      <c r="D48" s="21"/>
      <c r="E48" s="21"/>
      <c r="F48" s="21"/>
      <c r="G48" s="21"/>
      <c r="H48" s="21"/>
    </row>
    <row r="49" ht="15.75" customHeight="1">
      <c r="A49" s="39" t="s">
        <v>248</v>
      </c>
      <c r="B49" s="40">
        <f>$B$47*IF($B$48="5-7 weeks",'Global Assumptions'!$B$11,IF($B$48="3-4 weeks",'Global Assumptions'!$B$12,IF($B$48="&lt;3 weeks",'Global Assumptions'!$B$13,'Global Assumptions'!$B$10)))</f>
        <v>26</v>
      </c>
      <c r="C49" s="21"/>
      <c r="D49" s="21"/>
      <c r="E49" s="21"/>
      <c r="F49" s="21"/>
      <c r="G49" s="21"/>
      <c r="H49" s="21"/>
    </row>
    <row r="50" ht="15.75" customHeight="1">
      <c r="A50" s="39" t="s">
        <v>180</v>
      </c>
      <c r="B50" s="42">
        <f>$B$49*'Global Assumptions'!$B$6</f>
        <v>6708</v>
      </c>
      <c r="C50" s="21"/>
      <c r="D50" s="21"/>
      <c r="E50" s="21"/>
      <c r="F50" s="21"/>
      <c r="G50" s="21"/>
      <c r="H50" s="21"/>
    </row>
    <row r="51" ht="15.75" customHeight="1"/>
    <row r="52" ht="19.5" customHeight="1">
      <c r="A52" s="43" t="s">
        <v>330</v>
      </c>
      <c r="B52" s="2"/>
      <c r="C52" s="2"/>
      <c r="D52" s="2"/>
      <c r="E52" s="2"/>
      <c r="F52" s="2"/>
      <c r="G52" s="2"/>
      <c r="H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H1"/>
    <mergeCell ref="A2:H2"/>
    <mergeCell ref="A4:H4"/>
    <mergeCell ref="A5:H5"/>
    <mergeCell ref="A6:H6"/>
    <mergeCell ref="A7:H7"/>
    <mergeCell ref="A8:H8"/>
    <mergeCell ref="A10:H10"/>
    <mergeCell ref="C11:H11"/>
    <mergeCell ref="C12:H12"/>
    <mergeCell ref="C15:H15"/>
    <mergeCell ref="C16:H16"/>
    <mergeCell ref="C17:H17"/>
    <mergeCell ref="C18:H18"/>
    <mergeCell ref="A46:H46"/>
    <mergeCell ref="A52:H52"/>
    <mergeCell ref="C21:H21"/>
    <mergeCell ref="C22:H22"/>
    <mergeCell ref="C25:H25"/>
    <mergeCell ref="C26:H26"/>
    <mergeCell ref="C29:H29"/>
    <mergeCell ref="A31:H31"/>
    <mergeCell ref="A32:H32"/>
  </mergeCells>
  <dataValidations>
    <dataValidation type="list" allowBlank="1" sqref="B48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14.0"/>
    <col customWidth="1" min="4" max="5" width="12.0"/>
    <col customWidth="1" min="6" max="7" width="10.0"/>
    <col customWidth="1" min="8" max="8" width="12.0"/>
    <col customWidth="1" min="9" max="26" width="8.71"/>
  </cols>
  <sheetData>
    <row r="1" ht="27.75" customHeight="1">
      <c r="A1" s="1" t="s">
        <v>290</v>
      </c>
      <c r="B1" s="2"/>
      <c r="C1" s="2"/>
      <c r="D1" s="2"/>
      <c r="E1" s="2"/>
      <c r="F1" s="2"/>
      <c r="G1" s="2"/>
      <c r="H1" s="3"/>
    </row>
    <row r="2" ht="45.75" customHeight="1">
      <c r="A2" s="4" t="s">
        <v>291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292</v>
      </c>
      <c r="B5" s="2"/>
      <c r="C5" s="2"/>
      <c r="D5" s="2"/>
      <c r="E5" s="2"/>
      <c r="F5" s="2"/>
      <c r="G5" s="2"/>
      <c r="H5" s="3"/>
    </row>
    <row r="6" ht="18.0" customHeight="1">
      <c r="A6" s="9" t="s">
        <v>14</v>
      </c>
      <c r="B6" s="2"/>
      <c r="C6" s="2"/>
      <c r="D6" s="2"/>
      <c r="E6" s="2"/>
      <c r="F6" s="2"/>
      <c r="G6" s="2"/>
      <c r="H6" s="3"/>
    </row>
    <row r="7" ht="6.0" customHeight="1"/>
    <row r="8" ht="19.5" customHeight="1">
      <c r="A8" s="6" t="s">
        <v>18</v>
      </c>
      <c r="B8" s="2"/>
      <c r="C8" s="2"/>
      <c r="D8" s="2"/>
      <c r="E8" s="2"/>
      <c r="F8" s="2"/>
      <c r="G8" s="2"/>
      <c r="H8" s="3"/>
    </row>
    <row r="9">
      <c r="A9" s="5" t="s">
        <v>19</v>
      </c>
      <c r="B9" s="5" t="s">
        <v>20</v>
      </c>
      <c r="C9" s="11" t="s">
        <v>21</v>
      </c>
      <c r="D9" s="12"/>
      <c r="E9" s="12"/>
      <c r="F9" s="12"/>
      <c r="G9" s="12"/>
      <c r="H9" s="13"/>
    </row>
    <row r="10" ht="30.0" customHeight="1">
      <c r="A10" s="15" t="s">
        <v>24</v>
      </c>
      <c r="B10" s="16">
        <f>'Global Assumptions'!$B$6</f>
        <v>258</v>
      </c>
      <c r="C10" s="17" t="s">
        <v>41</v>
      </c>
    </row>
    <row r="11" ht="4.5" customHeight="1"/>
    <row r="12" ht="24.0" customHeight="1">
      <c r="A12" s="20" t="s">
        <v>296</v>
      </c>
      <c r="B12" s="21"/>
      <c r="C12" s="21"/>
      <c r="D12" s="21"/>
      <c r="E12" s="21"/>
      <c r="F12" s="21"/>
      <c r="G12" s="21"/>
      <c r="H12" s="21"/>
    </row>
    <row r="13" ht="30.0" customHeight="1">
      <c r="A13" s="15" t="s">
        <v>211</v>
      </c>
      <c r="B13" s="16">
        <v>5.0</v>
      </c>
      <c r="C13" s="17" t="s">
        <v>297</v>
      </c>
    </row>
    <row r="14" ht="30.0" customHeight="1">
      <c r="A14" s="15" t="s">
        <v>298</v>
      </c>
      <c r="B14" s="34">
        <v>1.0</v>
      </c>
      <c r="C14" s="17" t="s">
        <v>297</v>
      </c>
    </row>
    <row r="15" ht="30.0" customHeight="1">
      <c r="A15" s="15" t="s">
        <v>299</v>
      </c>
      <c r="B15" s="34">
        <v>1.0</v>
      </c>
      <c r="C15" s="17" t="s">
        <v>297</v>
      </c>
    </row>
    <row r="16" ht="30.0" customHeight="1">
      <c r="A16" s="15" t="s">
        <v>300</v>
      </c>
      <c r="B16" s="34">
        <v>1.0</v>
      </c>
      <c r="C16" s="17" t="s">
        <v>297</v>
      </c>
    </row>
    <row r="17" ht="30.0" customHeight="1">
      <c r="A17" s="15" t="s">
        <v>301</v>
      </c>
      <c r="B17" s="34">
        <v>1.0</v>
      </c>
      <c r="C17" s="17" t="s">
        <v>302</v>
      </c>
    </row>
    <row r="18" ht="30.0" customHeight="1">
      <c r="A18" s="15" t="s">
        <v>303</v>
      </c>
      <c r="B18" s="16">
        <v>2.0</v>
      </c>
      <c r="C18" s="17" t="s">
        <v>297</v>
      </c>
    </row>
    <row r="19" ht="30.0" customHeight="1">
      <c r="A19" s="15" t="s">
        <v>304</v>
      </c>
      <c r="B19" s="16">
        <v>4.0</v>
      </c>
      <c r="C19" s="17" t="s">
        <v>297</v>
      </c>
    </row>
    <row r="20" ht="4.5" customHeight="1"/>
    <row r="21" ht="24.0" customHeight="1">
      <c r="A21" s="20" t="s">
        <v>278</v>
      </c>
      <c r="B21" s="21"/>
      <c r="C21" s="21"/>
      <c r="D21" s="21"/>
      <c r="E21" s="21"/>
      <c r="F21" s="21"/>
      <c r="G21" s="21"/>
      <c r="H21" s="21"/>
    </row>
    <row r="22" ht="30.0" customHeight="1">
      <c r="A22" s="15" t="s">
        <v>308</v>
      </c>
      <c r="B22" s="16">
        <v>2.0</v>
      </c>
      <c r="C22" s="17" t="s">
        <v>297</v>
      </c>
    </row>
    <row r="23" ht="30.0" customHeight="1">
      <c r="A23" s="15" t="s">
        <v>311</v>
      </c>
      <c r="B23" s="16">
        <v>2.0</v>
      </c>
      <c r="C23" s="17" t="s">
        <v>297</v>
      </c>
    </row>
    <row r="24" ht="4.5" customHeight="1"/>
    <row r="25" ht="24.0" customHeight="1">
      <c r="A25" s="20" t="s">
        <v>138</v>
      </c>
      <c r="B25" s="21"/>
      <c r="C25" s="21"/>
      <c r="D25" s="21"/>
      <c r="E25" s="21"/>
      <c r="F25" s="21"/>
      <c r="G25" s="21"/>
      <c r="H25" s="21"/>
    </row>
    <row r="26" ht="30.0" customHeight="1">
      <c r="A26" s="15" t="s">
        <v>315</v>
      </c>
      <c r="B26" s="16">
        <v>1.0</v>
      </c>
      <c r="C26" s="17" t="s">
        <v>297</v>
      </c>
    </row>
    <row r="27" ht="30.0" customHeight="1">
      <c r="A27" s="15" t="s">
        <v>317</v>
      </c>
      <c r="B27" s="16">
        <v>1.0</v>
      </c>
      <c r="C27" s="17" t="s">
        <v>297</v>
      </c>
    </row>
    <row r="28" ht="15.75" customHeight="1"/>
    <row r="29" ht="19.5" customHeight="1">
      <c r="A29" s="6" t="s">
        <v>93</v>
      </c>
      <c r="B29" s="2"/>
      <c r="C29" s="2"/>
      <c r="D29" s="2"/>
      <c r="E29" s="2"/>
      <c r="F29" s="2"/>
      <c r="G29" s="2"/>
      <c r="H29" s="3"/>
    </row>
    <row r="30" ht="15.75" customHeight="1">
      <c r="A30" s="24" t="s">
        <v>100</v>
      </c>
      <c r="B30" s="2"/>
      <c r="C30" s="2"/>
      <c r="D30" s="2"/>
      <c r="E30" s="2"/>
      <c r="F30" s="2"/>
      <c r="G30" s="2"/>
      <c r="H30" s="3"/>
    </row>
    <row r="31" ht="33.75" customHeight="1">
      <c r="A31" s="25" t="s">
        <v>108</v>
      </c>
      <c r="B31" s="25" t="s">
        <v>322</v>
      </c>
      <c r="C31" s="25" t="s">
        <v>323</v>
      </c>
      <c r="D31" s="25" t="s">
        <v>288</v>
      </c>
      <c r="E31" s="25" t="s">
        <v>151</v>
      </c>
      <c r="F31" s="25" t="s">
        <v>115</v>
      </c>
      <c r="G31" s="25" t="s">
        <v>115</v>
      </c>
      <c r="H31" s="25" t="s">
        <v>116</v>
      </c>
    </row>
    <row r="32" ht="15.75" customHeight="1">
      <c r="A32" s="26" t="s">
        <v>325</v>
      </c>
      <c r="B32" s="27">
        <v>2.0</v>
      </c>
      <c r="C32" s="27">
        <v>2.0</v>
      </c>
      <c r="D32" s="29">
        <f t="shared" ref="D32:D41" si="1">IF($A32="","",$B$13+$B$14+$B$15+$B$16+$B$17+$B$18+$B$19)</f>
        <v>15</v>
      </c>
      <c r="E32" s="29">
        <f t="shared" ref="E32:E41" si="2">IF($A32="","",MAX(0,$B32-$B$22)*$B$26+MAX(0,$C32-$B$23)*$B$27)</f>
        <v>0</v>
      </c>
      <c r="F32" s="30"/>
      <c r="G32" s="30"/>
      <c r="H32" s="29">
        <f t="shared" ref="H32:H41" si="3">IF($A32="","",$D32+$E32)</f>
        <v>15</v>
      </c>
    </row>
    <row r="33" ht="15.75" customHeight="1">
      <c r="A33" s="26"/>
      <c r="B33" s="27"/>
      <c r="C33" s="27"/>
      <c r="D33" s="29" t="str">
        <f t="shared" si="1"/>
        <v/>
      </c>
      <c r="E33" s="29" t="str">
        <f t="shared" si="2"/>
        <v/>
      </c>
      <c r="F33" s="30"/>
      <c r="G33" s="30"/>
      <c r="H33" s="29" t="str">
        <f t="shared" si="3"/>
        <v/>
      </c>
    </row>
    <row r="34" ht="15.75" customHeight="1">
      <c r="A34" s="26"/>
      <c r="B34" s="27"/>
      <c r="C34" s="27"/>
      <c r="D34" s="29" t="str">
        <f t="shared" si="1"/>
        <v/>
      </c>
      <c r="E34" s="29" t="str">
        <f t="shared" si="2"/>
        <v/>
      </c>
      <c r="F34" s="30"/>
      <c r="G34" s="30"/>
      <c r="H34" s="29" t="str">
        <f t="shared" si="3"/>
        <v/>
      </c>
    </row>
    <row r="35" ht="15.75" customHeight="1">
      <c r="A35" s="26"/>
      <c r="B35" s="27"/>
      <c r="C35" s="27"/>
      <c r="D35" s="29" t="str">
        <f t="shared" si="1"/>
        <v/>
      </c>
      <c r="E35" s="29" t="str">
        <f t="shared" si="2"/>
        <v/>
      </c>
      <c r="F35" s="30"/>
      <c r="G35" s="30"/>
      <c r="H35" s="29" t="str">
        <f t="shared" si="3"/>
        <v/>
      </c>
    </row>
    <row r="36" ht="15.75" customHeight="1">
      <c r="A36" s="26"/>
      <c r="B36" s="27"/>
      <c r="C36" s="27"/>
      <c r="D36" s="29" t="str">
        <f t="shared" si="1"/>
        <v/>
      </c>
      <c r="E36" s="29" t="str">
        <f t="shared" si="2"/>
        <v/>
      </c>
      <c r="F36" s="30"/>
      <c r="G36" s="30"/>
      <c r="H36" s="29" t="str">
        <f t="shared" si="3"/>
        <v/>
      </c>
    </row>
    <row r="37" ht="15.75" customHeight="1">
      <c r="A37" s="26"/>
      <c r="B37" s="27"/>
      <c r="C37" s="27"/>
      <c r="D37" s="29" t="str">
        <f t="shared" si="1"/>
        <v/>
      </c>
      <c r="E37" s="29" t="str">
        <f t="shared" si="2"/>
        <v/>
      </c>
      <c r="F37" s="30"/>
      <c r="G37" s="30"/>
      <c r="H37" s="29" t="str">
        <f t="shared" si="3"/>
        <v/>
      </c>
    </row>
    <row r="38" ht="15.75" customHeight="1">
      <c r="A38" s="26"/>
      <c r="B38" s="27"/>
      <c r="C38" s="27"/>
      <c r="D38" s="29" t="str">
        <f t="shared" si="1"/>
        <v/>
      </c>
      <c r="E38" s="29" t="str">
        <f t="shared" si="2"/>
        <v/>
      </c>
      <c r="F38" s="30"/>
      <c r="G38" s="30"/>
      <c r="H38" s="29" t="str">
        <f t="shared" si="3"/>
        <v/>
      </c>
    </row>
    <row r="39" ht="15.75" customHeight="1">
      <c r="A39" s="26"/>
      <c r="B39" s="27"/>
      <c r="C39" s="27"/>
      <c r="D39" s="29" t="str">
        <f t="shared" si="1"/>
        <v/>
      </c>
      <c r="E39" s="29" t="str">
        <f t="shared" si="2"/>
        <v/>
      </c>
      <c r="F39" s="30"/>
      <c r="G39" s="30"/>
      <c r="H39" s="29" t="str">
        <f t="shared" si="3"/>
        <v/>
      </c>
    </row>
    <row r="40" ht="15.75" customHeight="1">
      <c r="A40" s="26"/>
      <c r="B40" s="27"/>
      <c r="C40" s="27"/>
      <c r="D40" s="29" t="str">
        <f t="shared" si="1"/>
        <v/>
      </c>
      <c r="E40" s="29" t="str">
        <f t="shared" si="2"/>
        <v/>
      </c>
      <c r="F40" s="30"/>
      <c r="G40" s="30"/>
      <c r="H40" s="29" t="str">
        <f t="shared" si="3"/>
        <v/>
      </c>
    </row>
    <row r="41" ht="15.75" customHeight="1">
      <c r="A41" s="26"/>
      <c r="B41" s="27"/>
      <c r="C41" s="27"/>
      <c r="D41" s="29" t="str">
        <f t="shared" si="1"/>
        <v/>
      </c>
      <c r="E41" s="29" t="str">
        <f t="shared" si="2"/>
        <v/>
      </c>
      <c r="F41" s="30"/>
      <c r="G41" s="30"/>
      <c r="H41" s="29" t="str">
        <f t="shared" si="3"/>
        <v/>
      </c>
    </row>
    <row r="42" ht="15.75" customHeight="1">
      <c r="A42" s="33" t="s">
        <v>159</v>
      </c>
      <c r="B42" s="35">
        <f t="shared" ref="B42:E42" si="4">SUM(B32:B41)</f>
        <v>2</v>
      </c>
      <c r="C42" s="35">
        <f t="shared" si="4"/>
        <v>2</v>
      </c>
      <c r="D42" s="37">
        <f t="shared" si="4"/>
        <v>15</v>
      </c>
      <c r="E42" s="37">
        <f t="shared" si="4"/>
        <v>0</v>
      </c>
      <c r="F42" s="36"/>
      <c r="G42" s="36"/>
      <c r="H42" s="37">
        <f>SUM(H32:H41)</f>
        <v>15</v>
      </c>
    </row>
    <row r="43" ht="15.75" customHeight="1"/>
    <row r="44" ht="18.0" customHeight="1">
      <c r="A44" s="6" t="s">
        <v>246</v>
      </c>
      <c r="B44" s="2"/>
      <c r="C44" s="2"/>
      <c r="D44" s="2"/>
      <c r="E44" s="2"/>
      <c r="F44" s="2"/>
      <c r="G44" s="2"/>
      <c r="H44" s="3"/>
    </row>
    <row r="45" ht="15.75" customHeight="1">
      <c r="A45" s="39" t="s">
        <v>247</v>
      </c>
      <c r="B45" s="40">
        <f>$H$42</f>
        <v>15</v>
      </c>
      <c r="C45" s="21"/>
      <c r="D45" s="21"/>
      <c r="E45" s="21"/>
      <c r="F45" s="21"/>
      <c r="G45" s="21"/>
      <c r="H45" s="21"/>
    </row>
    <row r="46" ht="15.75" customHeight="1">
      <c r="A46" s="39" t="s">
        <v>176</v>
      </c>
      <c r="B46" s="27" t="s">
        <v>177</v>
      </c>
      <c r="C46" s="21"/>
      <c r="D46" s="21"/>
      <c r="E46" s="21"/>
      <c r="F46" s="21"/>
      <c r="G46" s="21"/>
      <c r="H46" s="21"/>
    </row>
    <row r="47" ht="15.75" customHeight="1">
      <c r="A47" s="39" t="s">
        <v>248</v>
      </c>
      <c r="B47" s="40">
        <f>$B$45*IF($B$46="5-7 weeks",'Global Assumptions'!$B$11,IF($B$46="3-4 weeks",'Global Assumptions'!$B$12,IF($B$46="&lt;3 weeks",'Global Assumptions'!$B$13,'Global Assumptions'!$B$10)))</f>
        <v>15</v>
      </c>
      <c r="C47" s="21"/>
      <c r="D47" s="21"/>
      <c r="E47" s="21"/>
      <c r="F47" s="21"/>
      <c r="G47" s="21"/>
      <c r="H47" s="21"/>
    </row>
    <row r="48" ht="15.75" customHeight="1">
      <c r="A48" s="39" t="s">
        <v>180</v>
      </c>
      <c r="B48" s="42">
        <f>$B$47*'Global Assumptions'!$B$6</f>
        <v>3870</v>
      </c>
      <c r="C48" s="21"/>
      <c r="D48" s="21"/>
      <c r="E48" s="21"/>
      <c r="F48" s="21"/>
      <c r="G48" s="21"/>
      <c r="H48" s="21"/>
    </row>
    <row r="49" ht="15.75" customHeight="1"/>
    <row r="50" ht="19.5" customHeight="1">
      <c r="A50" s="43" t="s">
        <v>331</v>
      </c>
      <c r="B50" s="2"/>
      <c r="C50" s="2"/>
      <c r="D50" s="2"/>
      <c r="E50" s="2"/>
      <c r="F50" s="2"/>
      <c r="G50" s="2"/>
      <c r="H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H1"/>
    <mergeCell ref="A2:H2"/>
    <mergeCell ref="A4:H4"/>
    <mergeCell ref="A5:H5"/>
    <mergeCell ref="A6:H6"/>
    <mergeCell ref="A8:H8"/>
    <mergeCell ref="C9:H9"/>
    <mergeCell ref="C10:H10"/>
    <mergeCell ref="C13:H13"/>
    <mergeCell ref="C14:H14"/>
    <mergeCell ref="C15:H15"/>
    <mergeCell ref="C16:H16"/>
    <mergeCell ref="C17:H17"/>
    <mergeCell ref="C18:H18"/>
    <mergeCell ref="A44:H44"/>
    <mergeCell ref="A50:H50"/>
    <mergeCell ref="C19:H19"/>
    <mergeCell ref="C22:H22"/>
    <mergeCell ref="C23:H23"/>
    <mergeCell ref="C26:H26"/>
    <mergeCell ref="C27:H27"/>
    <mergeCell ref="A29:H29"/>
    <mergeCell ref="A30:H30"/>
  </mergeCells>
  <dataValidations>
    <dataValidation type="list" allowBlank="1" sqref="B46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4" width="12.0"/>
    <col customWidth="1" min="5" max="7" width="10.0"/>
    <col customWidth="1" min="8" max="8" width="12.0"/>
    <col customWidth="1" min="9" max="26" width="8.71"/>
  </cols>
  <sheetData>
    <row r="1" ht="27.75" customHeight="1">
      <c r="A1" s="1" t="s">
        <v>293</v>
      </c>
      <c r="B1" s="2"/>
      <c r="C1" s="2"/>
      <c r="D1" s="2"/>
      <c r="E1" s="2"/>
      <c r="F1" s="2"/>
      <c r="G1" s="2"/>
      <c r="H1" s="3"/>
    </row>
    <row r="2" ht="45.75" customHeight="1">
      <c r="A2" s="4" t="s">
        <v>294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9" t="s">
        <v>14</v>
      </c>
      <c r="B5" s="2"/>
      <c r="C5" s="2"/>
      <c r="D5" s="2"/>
      <c r="E5" s="2"/>
      <c r="F5" s="2"/>
      <c r="G5" s="2"/>
      <c r="H5" s="3"/>
    </row>
    <row r="6" ht="6.0" customHeight="1"/>
    <row r="7" ht="19.5" customHeight="1">
      <c r="A7" s="6" t="s">
        <v>18</v>
      </c>
      <c r="B7" s="2"/>
      <c r="C7" s="2"/>
      <c r="D7" s="2"/>
      <c r="E7" s="2"/>
      <c r="F7" s="2"/>
      <c r="G7" s="2"/>
      <c r="H7" s="3"/>
    </row>
    <row r="8">
      <c r="A8" s="5" t="s">
        <v>19</v>
      </c>
      <c r="B8" s="5" t="s">
        <v>20</v>
      </c>
      <c r="C8" s="11" t="s">
        <v>21</v>
      </c>
      <c r="D8" s="12"/>
      <c r="E8" s="12"/>
      <c r="F8" s="12"/>
      <c r="G8" s="12"/>
      <c r="H8" s="13"/>
    </row>
    <row r="9" ht="30.0" customHeight="1">
      <c r="A9" s="15" t="s">
        <v>24</v>
      </c>
      <c r="B9" s="16">
        <f>'Global Assumptions'!$B$6</f>
        <v>258</v>
      </c>
      <c r="C9" s="17" t="s">
        <v>41</v>
      </c>
    </row>
    <row r="10" ht="4.5" customHeight="1"/>
    <row r="11" ht="24.0" customHeight="1">
      <c r="A11" s="20" t="s">
        <v>270</v>
      </c>
      <c r="B11" s="21"/>
      <c r="C11" s="21"/>
      <c r="D11" s="21"/>
      <c r="E11" s="21"/>
      <c r="F11" s="21"/>
      <c r="G11" s="21"/>
      <c r="H11" s="21"/>
    </row>
    <row r="12" ht="30.0" customHeight="1">
      <c r="A12" s="15" t="s">
        <v>306</v>
      </c>
      <c r="B12" s="16">
        <v>6.0</v>
      </c>
      <c r="C12" s="17" t="s">
        <v>307</v>
      </c>
    </row>
    <row r="13" ht="30.0" customHeight="1">
      <c r="A13" s="15" t="s">
        <v>309</v>
      </c>
      <c r="B13" s="16">
        <v>1.5</v>
      </c>
      <c r="C13" s="17" t="s">
        <v>310</v>
      </c>
    </row>
    <row r="14" ht="30.0" customHeight="1">
      <c r="A14" s="15" t="s">
        <v>312</v>
      </c>
      <c r="B14" s="16">
        <v>6.0</v>
      </c>
      <c r="C14" s="17" t="s">
        <v>313</v>
      </c>
    </row>
    <row r="15" ht="30.0" customHeight="1">
      <c r="A15" s="15" t="s">
        <v>314</v>
      </c>
      <c r="B15" s="16">
        <v>1.0</v>
      </c>
      <c r="C15" s="17" t="s">
        <v>310</v>
      </c>
    </row>
    <row r="16" ht="30.0" customHeight="1">
      <c r="A16" s="15" t="s">
        <v>316</v>
      </c>
      <c r="B16" s="16">
        <v>6.0</v>
      </c>
      <c r="C16" s="17" t="s">
        <v>318</v>
      </c>
    </row>
    <row r="17" ht="30.0" customHeight="1">
      <c r="A17" s="15" t="s">
        <v>319</v>
      </c>
      <c r="B17" s="16">
        <v>2.0</v>
      </c>
      <c r="C17" s="17" t="s">
        <v>318</v>
      </c>
    </row>
    <row r="18" ht="4.5" customHeight="1"/>
    <row r="19" ht="24.0" customHeight="1">
      <c r="A19" s="20" t="s">
        <v>320</v>
      </c>
      <c r="B19" s="21"/>
      <c r="C19" s="21"/>
      <c r="D19" s="21"/>
      <c r="E19" s="21"/>
      <c r="F19" s="21"/>
      <c r="G19" s="21"/>
      <c r="H19" s="21"/>
    </row>
    <row r="20" ht="30.0" customHeight="1">
      <c r="A20" s="15" t="s">
        <v>321</v>
      </c>
      <c r="B20" s="16">
        <v>4.0</v>
      </c>
      <c r="C20" s="17" t="s">
        <v>318</v>
      </c>
    </row>
    <row r="21" ht="4.5" customHeight="1"/>
    <row r="22" ht="24.0" customHeight="1">
      <c r="A22" s="20" t="s">
        <v>138</v>
      </c>
      <c r="B22" s="21"/>
      <c r="C22" s="21"/>
      <c r="D22" s="21"/>
      <c r="E22" s="21"/>
      <c r="F22" s="21"/>
      <c r="G22" s="21"/>
      <c r="H22" s="21"/>
    </row>
    <row r="23" ht="30.0" customHeight="1">
      <c r="A23" s="15" t="s">
        <v>324</v>
      </c>
      <c r="B23" s="16">
        <v>2.0</v>
      </c>
      <c r="C23" s="17" t="s">
        <v>318</v>
      </c>
    </row>
    <row r="24" ht="15.75" customHeight="1"/>
    <row r="25" ht="19.5" customHeight="1">
      <c r="A25" s="6" t="s">
        <v>93</v>
      </c>
      <c r="B25" s="2"/>
      <c r="C25" s="2"/>
      <c r="D25" s="2"/>
      <c r="E25" s="2"/>
      <c r="F25" s="2"/>
      <c r="G25" s="2"/>
      <c r="H25" s="3"/>
    </row>
    <row r="26" ht="15.75" customHeight="1">
      <c r="A26" s="24" t="s">
        <v>100</v>
      </c>
      <c r="B26" s="2"/>
      <c r="C26" s="2"/>
      <c r="D26" s="2"/>
      <c r="E26" s="2"/>
      <c r="F26" s="2"/>
      <c r="G26" s="2"/>
      <c r="H26" s="3"/>
    </row>
    <row r="27" ht="33.75" customHeight="1">
      <c r="A27" s="25" t="s">
        <v>108</v>
      </c>
      <c r="B27" s="25" t="s">
        <v>327</v>
      </c>
      <c r="C27" s="25" t="s">
        <v>328</v>
      </c>
      <c r="D27" s="25" t="s">
        <v>288</v>
      </c>
      <c r="E27" s="25" t="s">
        <v>151</v>
      </c>
      <c r="F27" s="25" t="s">
        <v>115</v>
      </c>
      <c r="G27" s="25" t="s">
        <v>115</v>
      </c>
      <c r="H27" s="25" t="s">
        <v>116</v>
      </c>
    </row>
    <row r="28" ht="15.75" customHeight="1">
      <c r="A28" s="26" t="s">
        <v>329</v>
      </c>
      <c r="B28" s="27">
        <v>4.0</v>
      </c>
      <c r="C28" s="27">
        <v>1.0</v>
      </c>
      <c r="D28" s="29">
        <f t="shared" ref="D28:D37" si="1">IF($A28="","",$B$12+$C28*$B$13+$B$14+$C28*$B$15+$B$16+$B$17)</f>
        <v>22.5</v>
      </c>
      <c r="E28" s="29">
        <f t="shared" ref="E28:E37" si="2">IF($A28="","",MAX(0,$B28-$B$20)*$B$23)</f>
        <v>0</v>
      </c>
      <c r="F28" s="30"/>
      <c r="G28" s="30"/>
      <c r="H28" s="29">
        <f t="shared" ref="H28:H37" si="3">IF($A28="","",$D28+$E28)</f>
        <v>22.5</v>
      </c>
    </row>
    <row r="29" ht="15.75" customHeight="1">
      <c r="A29" s="26"/>
      <c r="B29" s="27"/>
      <c r="C29" s="27"/>
      <c r="D29" s="29" t="str">
        <f t="shared" si="1"/>
        <v/>
      </c>
      <c r="E29" s="29" t="str">
        <f t="shared" si="2"/>
        <v/>
      </c>
      <c r="F29" s="30"/>
      <c r="G29" s="30"/>
      <c r="H29" s="29" t="str">
        <f t="shared" si="3"/>
        <v/>
      </c>
    </row>
    <row r="30" ht="15.75" customHeight="1">
      <c r="A30" s="26"/>
      <c r="B30" s="27"/>
      <c r="C30" s="27"/>
      <c r="D30" s="29" t="str">
        <f t="shared" si="1"/>
        <v/>
      </c>
      <c r="E30" s="29" t="str">
        <f t="shared" si="2"/>
        <v/>
      </c>
      <c r="F30" s="30"/>
      <c r="G30" s="30"/>
      <c r="H30" s="29" t="str">
        <f t="shared" si="3"/>
        <v/>
      </c>
    </row>
    <row r="31" ht="15.75" customHeight="1">
      <c r="A31" s="26"/>
      <c r="B31" s="27"/>
      <c r="C31" s="27"/>
      <c r="D31" s="29" t="str">
        <f t="shared" si="1"/>
        <v/>
      </c>
      <c r="E31" s="29" t="str">
        <f t="shared" si="2"/>
        <v/>
      </c>
      <c r="F31" s="30"/>
      <c r="G31" s="30"/>
      <c r="H31" s="29" t="str">
        <f t="shared" si="3"/>
        <v/>
      </c>
    </row>
    <row r="32" ht="15.75" customHeight="1">
      <c r="A32" s="26"/>
      <c r="B32" s="27"/>
      <c r="C32" s="27"/>
      <c r="D32" s="29" t="str">
        <f t="shared" si="1"/>
        <v/>
      </c>
      <c r="E32" s="29" t="str">
        <f t="shared" si="2"/>
        <v/>
      </c>
      <c r="F32" s="30"/>
      <c r="G32" s="30"/>
      <c r="H32" s="29" t="str">
        <f t="shared" si="3"/>
        <v/>
      </c>
    </row>
    <row r="33" ht="15.75" customHeight="1">
      <c r="A33" s="26"/>
      <c r="B33" s="27"/>
      <c r="C33" s="27"/>
      <c r="D33" s="29" t="str">
        <f t="shared" si="1"/>
        <v/>
      </c>
      <c r="E33" s="29" t="str">
        <f t="shared" si="2"/>
        <v/>
      </c>
      <c r="F33" s="30"/>
      <c r="G33" s="30"/>
      <c r="H33" s="29" t="str">
        <f t="shared" si="3"/>
        <v/>
      </c>
    </row>
    <row r="34" ht="15.75" customHeight="1">
      <c r="A34" s="26"/>
      <c r="B34" s="27"/>
      <c r="C34" s="27"/>
      <c r="D34" s="29" t="str">
        <f t="shared" si="1"/>
        <v/>
      </c>
      <c r="E34" s="29" t="str">
        <f t="shared" si="2"/>
        <v/>
      </c>
      <c r="F34" s="30"/>
      <c r="G34" s="30"/>
      <c r="H34" s="29" t="str">
        <f t="shared" si="3"/>
        <v/>
      </c>
    </row>
    <row r="35" ht="15.75" customHeight="1">
      <c r="A35" s="26"/>
      <c r="B35" s="27"/>
      <c r="C35" s="27"/>
      <c r="D35" s="29" t="str">
        <f t="shared" si="1"/>
        <v/>
      </c>
      <c r="E35" s="29" t="str">
        <f t="shared" si="2"/>
        <v/>
      </c>
      <c r="F35" s="30"/>
      <c r="G35" s="30"/>
      <c r="H35" s="29" t="str">
        <f t="shared" si="3"/>
        <v/>
      </c>
    </row>
    <row r="36" ht="15.75" customHeight="1">
      <c r="A36" s="26"/>
      <c r="B36" s="27"/>
      <c r="C36" s="27"/>
      <c r="D36" s="29" t="str">
        <f t="shared" si="1"/>
        <v/>
      </c>
      <c r="E36" s="29" t="str">
        <f t="shared" si="2"/>
        <v/>
      </c>
      <c r="F36" s="30"/>
      <c r="G36" s="30"/>
      <c r="H36" s="29" t="str">
        <f t="shared" si="3"/>
        <v/>
      </c>
    </row>
    <row r="37" ht="15.75" customHeight="1">
      <c r="A37" s="26"/>
      <c r="B37" s="27"/>
      <c r="C37" s="27"/>
      <c r="D37" s="29" t="str">
        <f t="shared" si="1"/>
        <v/>
      </c>
      <c r="E37" s="29" t="str">
        <f t="shared" si="2"/>
        <v/>
      </c>
      <c r="F37" s="30"/>
      <c r="G37" s="30"/>
      <c r="H37" s="29" t="str">
        <f t="shared" si="3"/>
        <v/>
      </c>
    </row>
    <row r="38" ht="15.75" customHeight="1">
      <c r="A38" s="33" t="s">
        <v>159</v>
      </c>
      <c r="B38" s="35">
        <f t="shared" ref="B38:E38" si="4">SUM(B28:B37)</f>
        <v>4</v>
      </c>
      <c r="C38" s="35">
        <f t="shared" si="4"/>
        <v>1</v>
      </c>
      <c r="D38" s="37">
        <f t="shared" si="4"/>
        <v>22.5</v>
      </c>
      <c r="E38" s="37">
        <f t="shared" si="4"/>
        <v>0</v>
      </c>
      <c r="F38" s="36"/>
      <c r="G38" s="36"/>
      <c r="H38" s="37">
        <f>SUM(H28:H37)</f>
        <v>22.5</v>
      </c>
    </row>
    <row r="39" ht="15.75" customHeight="1"/>
    <row r="40" ht="18.0" customHeight="1">
      <c r="A40" s="6" t="s">
        <v>170</v>
      </c>
      <c r="B40" s="2"/>
      <c r="C40" s="2"/>
      <c r="D40" s="2"/>
      <c r="E40" s="2"/>
      <c r="F40" s="2"/>
      <c r="G40" s="2"/>
      <c r="H40" s="3"/>
    </row>
    <row r="41" ht="15.75" customHeight="1">
      <c r="A41" s="39" t="s">
        <v>173</v>
      </c>
      <c r="B41" s="40">
        <f>$H$38</f>
        <v>22.5</v>
      </c>
      <c r="C41" s="21"/>
      <c r="D41" s="21"/>
      <c r="E41" s="21"/>
      <c r="F41" s="21"/>
      <c r="G41" s="21"/>
      <c r="H41" s="21"/>
    </row>
    <row r="42" ht="15.75" customHeight="1">
      <c r="A42" s="39" t="s">
        <v>174</v>
      </c>
      <c r="B42" s="40">
        <f>IF($B$41=0,0,$B$41*'Global Assumptions'!$B$7)</f>
        <v>7.875</v>
      </c>
      <c r="C42" s="41"/>
      <c r="D42" s="2"/>
      <c r="E42" s="2"/>
      <c r="F42" s="2"/>
      <c r="G42" s="2"/>
      <c r="H42" s="3"/>
    </row>
    <row r="43" ht="15.75" customHeight="1">
      <c r="A43" s="39" t="s">
        <v>176</v>
      </c>
      <c r="B43" s="27" t="s">
        <v>177</v>
      </c>
      <c r="C43" s="21"/>
      <c r="D43" s="21"/>
      <c r="E43" s="21"/>
      <c r="F43" s="21"/>
      <c r="G43" s="21"/>
      <c r="H43" s="21"/>
    </row>
    <row r="44" ht="15.75" customHeight="1">
      <c r="A44" s="39" t="s">
        <v>178</v>
      </c>
      <c r="B44" s="40">
        <f>($B$41+$B$42)*IF($B$43="5-7 weeks",'Global Assumptions'!$B$11,IF($B$43="3-4 weeks",'Global Assumptions'!$B$12,IF($B$43="&lt;3 weeks",'Global Assumptions'!$B$13,'Global Assumptions'!$B$10)))</f>
        <v>30.375</v>
      </c>
      <c r="C44" s="21"/>
      <c r="D44" s="21"/>
      <c r="E44" s="21"/>
      <c r="F44" s="21"/>
      <c r="G44" s="21"/>
      <c r="H44" s="21"/>
    </row>
    <row r="45" ht="15.75" customHeight="1">
      <c r="A45" s="39" t="s">
        <v>180</v>
      </c>
      <c r="B45" s="42">
        <f>$B$44*'Global Assumptions'!$B$6</f>
        <v>7836.75</v>
      </c>
      <c r="C45" s="21"/>
      <c r="D45" s="21"/>
      <c r="E45" s="21"/>
      <c r="F45" s="21"/>
      <c r="G45" s="21"/>
      <c r="H45" s="21"/>
    </row>
    <row r="46" ht="15.75" customHeight="1"/>
    <row r="47" ht="30.0" customHeight="1">
      <c r="A47" s="43" t="s">
        <v>334</v>
      </c>
      <c r="B47" s="2"/>
      <c r="C47" s="2"/>
      <c r="D47" s="2"/>
      <c r="E47" s="2"/>
      <c r="F47" s="2"/>
      <c r="G47" s="2"/>
      <c r="H47" s="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H1"/>
    <mergeCell ref="A2:H2"/>
    <mergeCell ref="A4:H4"/>
    <mergeCell ref="A5:H5"/>
    <mergeCell ref="A7:H7"/>
    <mergeCell ref="C8:H8"/>
    <mergeCell ref="C9:H9"/>
    <mergeCell ref="C23:H23"/>
    <mergeCell ref="A25:H25"/>
    <mergeCell ref="A26:H26"/>
    <mergeCell ref="A40:H40"/>
    <mergeCell ref="C42:H42"/>
    <mergeCell ref="A47:H47"/>
    <mergeCell ref="C12:H12"/>
    <mergeCell ref="C13:H13"/>
    <mergeCell ref="C14:H14"/>
    <mergeCell ref="C15:H15"/>
    <mergeCell ref="C16:H16"/>
    <mergeCell ref="C17:H17"/>
    <mergeCell ref="C20:H20"/>
  </mergeCells>
  <dataValidations>
    <dataValidation type="list" allowBlank="1" sqref="B43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4" width="12.0"/>
    <col customWidth="1" min="5" max="7" width="10.0"/>
    <col customWidth="1" min="8" max="8" width="12.0"/>
    <col customWidth="1" min="9" max="26" width="8.71"/>
  </cols>
  <sheetData>
    <row r="1" ht="27.75" customHeight="1">
      <c r="A1" s="1" t="s">
        <v>332</v>
      </c>
      <c r="B1" s="2"/>
      <c r="C1" s="2"/>
      <c r="D1" s="2"/>
      <c r="E1" s="2"/>
      <c r="F1" s="2"/>
      <c r="G1" s="2"/>
      <c r="H1" s="3"/>
    </row>
    <row r="2" ht="45.75" customHeight="1">
      <c r="A2" s="4" t="s">
        <v>333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335</v>
      </c>
      <c r="B5" s="2"/>
      <c r="C5" s="2"/>
      <c r="D5" s="2"/>
      <c r="E5" s="2"/>
      <c r="F5" s="2"/>
      <c r="G5" s="2"/>
      <c r="H5" s="3"/>
    </row>
    <row r="6" ht="45.75" customHeight="1">
      <c r="A6" s="14" t="s">
        <v>336</v>
      </c>
      <c r="B6" s="2"/>
      <c r="C6" s="2"/>
      <c r="D6" s="2"/>
      <c r="E6" s="2"/>
      <c r="F6" s="2"/>
      <c r="G6" s="2"/>
      <c r="H6" s="3"/>
    </row>
    <row r="7" ht="18.0" customHeight="1">
      <c r="A7" s="9" t="s">
        <v>14</v>
      </c>
      <c r="B7" s="2"/>
      <c r="C7" s="2"/>
      <c r="D7" s="2"/>
      <c r="E7" s="2"/>
      <c r="F7" s="2"/>
      <c r="G7" s="2"/>
      <c r="H7" s="3"/>
    </row>
    <row r="8" ht="6.0" customHeight="1"/>
    <row r="9" ht="19.5" customHeight="1">
      <c r="A9" s="6" t="s">
        <v>18</v>
      </c>
      <c r="B9" s="2"/>
      <c r="C9" s="2"/>
      <c r="D9" s="2"/>
      <c r="E9" s="2"/>
      <c r="F9" s="2"/>
      <c r="G9" s="2"/>
      <c r="H9" s="3"/>
    </row>
    <row r="10">
      <c r="A10" s="5" t="s">
        <v>19</v>
      </c>
      <c r="B10" s="5" t="s">
        <v>20</v>
      </c>
      <c r="C10" s="11" t="s">
        <v>21</v>
      </c>
      <c r="D10" s="12"/>
      <c r="E10" s="12"/>
      <c r="F10" s="12"/>
      <c r="G10" s="12"/>
      <c r="H10" s="13"/>
    </row>
    <row r="11" ht="30.0" customHeight="1">
      <c r="A11" s="15" t="s">
        <v>24</v>
      </c>
      <c r="B11" s="16">
        <f>'Global Assumptions'!$B$6</f>
        <v>258</v>
      </c>
      <c r="C11" s="17" t="s">
        <v>41</v>
      </c>
    </row>
    <row r="12" ht="4.5" customHeight="1"/>
    <row r="13" ht="30.0" customHeight="1">
      <c r="A13" s="15" t="s">
        <v>338</v>
      </c>
      <c r="B13" s="16">
        <v>2.0</v>
      </c>
      <c r="C13" s="17" t="s">
        <v>339</v>
      </c>
    </row>
    <row r="14" ht="4.5" customHeight="1"/>
    <row r="15" ht="24.0" customHeight="1">
      <c r="A15" s="20" t="s">
        <v>340</v>
      </c>
      <c r="B15" s="21"/>
      <c r="C15" s="21"/>
      <c r="D15" s="21"/>
      <c r="E15" s="21"/>
      <c r="F15" s="21"/>
      <c r="G15" s="21"/>
      <c r="H15" s="21"/>
    </row>
    <row r="16" ht="30.0" customHeight="1">
      <c r="A16" s="15" t="s">
        <v>342</v>
      </c>
      <c r="B16" s="16">
        <v>2.0</v>
      </c>
      <c r="C16" s="17" t="s">
        <v>343</v>
      </c>
    </row>
    <row r="17" ht="30.0" customHeight="1">
      <c r="A17" s="15" t="s">
        <v>344</v>
      </c>
      <c r="B17" s="16">
        <v>2.0</v>
      </c>
      <c r="C17" s="17" t="s">
        <v>345</v>
      </c>
    </row>
    <row r="18" ht="30.0" customHeight="1">
      <c r="A18" s="15" t="s">
        <v>346</v>
      </c>
      <c r="B18" s="16">
        <v>8.0</v>
      </c>
      <c r="C18" s="17" t="s">
        <v>347</v>
      </c>
    </row>
    <row r="19" ht="30.0" customHeight="1">
      <c r="A19" s="15" t="s">
        <v>348</v>
      </c>
      <c r="B19" s="16">
        <v>6.0</v>
      </c>
      <c r="C19" s="17" t="s">
        <v>349</v>
      </c>
    </row>
    <row r="20" ht="30.0" customHeight="1">
      <c r="A20" s="15" t="s">
        <v>350</v>
      </c>
      <c r="B20" s="16">
        <v>4.0</v>
      </c>
      <c r="C20" s="17" t="s">
        <v>352</v>
      </c>
    </row>
    <row r="21" ht="30.0" customHeight="1">
      <c r="A21" s="15" t="s">
        <v>353</v>
      </c>
      <c r="B21" s="16">
        <v>2.5</v>
      </c>
      <c r="C21" s="17" t="s">
        <v>354</v>
      </c>
    </row>
    <row r="22" ht="15.75" customHeight="1"/>
    <row r="23" ht="19.5" customHeight="1">
      <c r="A23" s="6" t="s">
        <v>165</v>
      </c>
      <c r="B23" s="2"/>
      <c r="C23" s="2"/>
      <c r="D23" s="2"/>
      <c r="E23" s="2"/>
      <c r="F23" s="2"/>
      <c r="G23" s="2"/>
      <c r="H23" s="3"/>
    </row>
    <row r="24" ht="15.75" customHeight="1">
      <c r="A24" s="24" t="s">
        <v>166</v>
      </c>
      <c r="B24" s="2"/>
      <c r="C24" s="2"/>
      <c r="D24" s="2"/>
      <c r="E24" s="2"/>
      <c r="F24" s="2"/>
      <c r="G24" s="2"/>
      <c r="H24" s="3"/>
    </row>
    <row r="25" ht="33.75" customHeight="1">
      <c r="A25" s="25" t="s">
        <v>108</v>
      </c>
      <c r="B25" s="25" t="s">
        <v>357</v>
      </c>
      <c r="C25" s="25" t="s">
        <v>115</v>
      </c>
      <c r="D25" s="25" t="s">
        <v>115</v>
      </c>
      <c r="E25" s="25" t="s">
        <v>267</v>
      </c>
      <c r="F25" s="25" t="s">
        <v>115</v>
      </c>
      <c r="G25" s="25" t="s">
        <v>115</v>
      </c>
      <c r="H25" s="25" t="s">
        <v>116</v>
      </c>
    </row>
    <row r="26" ht="15.75" customHeight="1">
      <c r="A26" s="26" t="s">
        <v>359</v>
      </c>
      <c r="B26" s="27" t="s">
        <v>360</v>
      </c>
      <c r="C26" s="30"/>
      <c r="D26" s="30"/>
      <c r="E26" s="30"/>
      <c r="F26" s="30"/>
      <c r="G26" s="30"/>
      <c r="H26" s="29">
        <f t="shared" ref="H26:H35" si="1">IF($A26="","",IF($B26="Feature Review",$B$13,$B$16+$B$17+$B$18+$B$19+$B$20+$B$21))</f>
        <v>24.5</v>
      </c>
    </row>
    <row r="27" ht="15.75" customHeight="1">
      <c r="A27" s="26"/>
      <c r="B27" s="27"/>
      <c r="C27" s="30"/>
      <c r="D27" s="30"/>
      <c r="E27" s="30"/>
      <c r="F27" s="30"/>
      <c r="G27" s="30"/>
      <c r="H27" s="29" t="str">
        <f t="shared" si="1"/>
        <v/>
      </c>
    </row>
    <row r="28" ht="15.75" customHeight="1">
      <c r="A28" s="26"/>
      <c r="B28" s="27"/>
      <c r="C28" s="30"/>
      <c r="D28" s="30"/>
      <c r="E28" s="30"/>
      <c r="F28" s="30"/>
      <c r="G28" s="30"/>
      <c r="H28" s="29" t="str">
        <f t="shared" si="1"/>
        <v/>
      </c>
    </row>
    <row r="29" ht="15.75" customHeight="1">
      <c r="A29" s="26"/>
      <c r="B29" s="27"/>
      <c r="C29" s="30"/>
      <c r="D29" s="30"/>
      <c r="E29" s="30"/>
      <c r="F29" s="30"/>
      <c r="G29" s="30"/>
      <c r="H29" s="29" t="str">
        <f t="shared" si="1"/>
        <v/>
      </c>
    </row>
    <row r="30" ht="15.75" customHeight="1">
      <c r="A30" s="26"/>
      <c r="B30" s="27"/>
      <c r="C30" s="30"/>
      <c r="D30" s="30"/>
      <c r="E30" s="30"/>
      <c r="F30" s="30"/>
      <c r="G30" s="30"/>
      <c r="H30" s="29" t="str">
        <f t="shared" si="1"/>
        <v/>
      </c>
    </row>
    <row r="31" ht="15.75" customHeight="1">
      <c r="A31" s="26"/>
      <c r="B31" s="27"/>
      <c r="C31" s="30"/>
      <c r="D31" s="30"/>
      <c r="E31" s="30"/>
      <c r="F31" s="30"/>
      <c r="G31" s="30"/>
      <c r="H31" s="29" t="str">
        <f t="shared" si="1"/>
        <v/>
      </c>
    </row>
    <row r="32" ht="15.75" customHeight="1">
      <c r="A32" s="26"/>
      <c r="B32" s="27"/>
      <c r="C32" s="30"/>
      <c r="D32" s="30"/>
      <c r="E32" s="30"/>
      <c r="F32" s="30"/>
      <c r="G32" s="30"/>
      <c r="H32" s="29" t="str">
        <f t="shared" si="1"/>
        <v/>
      </c>
    </row>
    <row r="33" ht="15.75" customHeight="1">
      <c r="A33" s="26"/>
      <c r="B33" s="27"/>
      <c r="C33" s="30"/>
      <c r="D33" s="30"/>
      <c r="E33" s="30"/>
      <c r="F33" s="30"/>
      <c r="G33" s="30"/>
      <c r="H33" s="29" t="str">
        <f t="shared" si="1"/>
        <v/>
      </c>
    </row>
    <row r="34" ht="15.75" customHeight="1">
      <c r="A34" s="26"/>
      <c r="B34" s="27"/>
      <c r="C34" s="30"/>
      <c r="D34" s="30"/>
      <c r="E34" s="30"/>
      <c r="F34" s="30"/>
      <c r="G34" s="30"/>
      <c r="H34" s="29" t="str">
        <f t="shared" si="1"/>
        <v/>
      </c>
    </row>
    <row r="35" ht="15.75" customHeight="1">
      <c r="A35" s="26"/>
      <c r="B35" s="27"/>
      <c r="C35" s="30"/>
      <c r="D35" s="30"/>
      <c r="E35" s="30"/>
      <c r="F35" s="30"/>
      <c r="G35" s="30"/>
      <c r="H35" s="29" t="str">
        <f t="shared" si="1"/>
        <v/>
      </c>
    </row>
    <row r="36" ht="15.75" customHeight="1">
      <c r="A36" s="33" t="s">
        <v>159</v>
      </c>
      <c r="B36" s="36"/>
      <c r="C36" s="36"/>
      <c r="D36" s="36"/>
      <c r="E36" s="36"/>
      <c r="F36" s="36"/>
      <c r="G36" s="36"/>
      <c r="H36" s="37">
        <f>SUM(H26:H35)</f>
        <v>24.5</v>
      </c>
    </row>
    <row r="37" ht="15.75" customHeight="1"/>
    <row r="38" ht="18.0" customHeight="1">
      <c r="A38" s="6" t="s">
        <v>170</v>
      </c>
      <c r="B38" s="2"/>
      <c r="C38" s="2"/>
      <c r="D38" s="2"/>
      <c r="E38" s="2"/>
      <c r="F38" s="2"/>
      <c r="G38" s="2"/>
      <c r="H38" s="3"/>
    </row>
    <row r="39" ht="15.75" customHeight="1">
      <c r="A39" s="39" t="s">
        <v>173</v>
      </c>
      <c r="B39" s="40">
        <f>$H$36</f>
        <v>24.5</v>
      </c>
      <c r="C39" s="21"/>
      <c r="D39" s="21"/>
      <c r="E39" s="21"/>
      <c r="F39" s="21"/>
      <c r="G39" s="21"/>
      <c r="H39" s="21"/>
    </row>
    <row r="40" ht="15.75" customHeight="1">
      <c r="A40" s="39" t="s">
        <v>174</v>
      </c>
      <c r="B40" s="40">
        <f>IF($B$39=0,0,$B$39*'Global Assumptions'!$B$7)</f>
        <v>8.575</v>
      </c>
      <c r="C40" s="41"/>
      <c r="D40" s="2"/>
      <c r="E40" s="2"/>
      <c r="F40" s="2"/>
      <c r="G40" s="2"/>
      <c r="H40" s="3"/>
    </row>
    <row r="41" ht="15.75" customHeight="1">
      <c r="A41" s="39" t="s">
        <v>176</v>
      </c>
      <c r="B41" s="27" t="s">
        <v>177</v>
      </c>
      <c r="C41" s="21"/>
      <c r="D41" s="21"/>
      <c r="E41" s="21"/>
      <c r="F41" s="21"/>
      <c r="G41" s="21"/>
      <c r="H41" s="21"/>
    </row>
    <row r="42" ht="15.75" customHeight="1">
      <c r="A42" s="39" t="s">
        <v>178</v>
      </c>
      <c r="B42" s="40">
        <f>($B$39+$B$40)*IF($B$41="5-7 weeks",'Global Assumptions'!$B$11,IF($B$41="3-4 weeks",'Global Assumptions'!$B$12,IF($B$41="&lt;3 weeks",'Global Assumptions'!$B$13,'Global Assumptions'!$B$10)))</f>
        <v>33.075</v>
      </c>
      <c r="C42" s="21"/>
      <c r="D42" s="21"/>
      <c r="E42" s="21"/>
      <c r="F42" s="21"/>
      <c r="G42" s="21"/>
      <c r="H42" s="21"/>
    </row>
    <row r="43" ht="15.75" customHeight="1">
      <c r="A43" s="39" t="s">
        <v>180</v>
      </c>
      <c r="B43" s="42">
        <f>$B$42*'Global Assumptions'!$B$6</f>
        <v>8533.35</v>
      </c>
      <c r="C43" s="21"/>
      <c r="D43" s="21"/>
      <c r="E43" s="21"/>
      <c r="F43" s="21"/>
      <c r="G43" s="21"/>
      <c r="H43" s="21"/>
    </row>
    <row r="44" ht="15.75" customHeight="1"/>
    <row r="45" ht="30.0" customHeight="1">
      <c r="A45" s="43" t="s">
        <v>419</v>
      </c>
      <c r="B45" s="2"/>
      <c r="C45" s="2"/>
      <c r="D45" s="2"/>
      <c r="E45" s="2"/>
      <c r="F45" s="2"/>
      <c r="G45" s="2"/>
      <c r="H45" s="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1"/>
    <mergeCell ref="A2:H2"/>
    <mergeCell ref="A4:H4"/>
    <mergeCell ref="A5:H5"/>
    <mergeCell ref="A6:H6"/>
    <mergeCell ref="A7:H7"/>
    <mergeCell ref="A9:H9"/>
    <mergeCell ref="C20:H20"/>
    <mergeCell ref="C21:H21"/>
    <mergeCell ref="A23:H23"/>
    <mergeCell ref="A24:H24"/>
    <mergeCell ref="A38:H38"/>
    <mergeCell ref="C40:H40"/>
    <mergeCell ref="A45:H45"/>
    <mergeCell ref="C10:H10"/>
    <mergeCell ref="C11:H11"/>
    <mergeCell ref="C13:H13"/>
    <mergeCell ref="C16:H16"/>
    <mergeCell ref="C17:H17"/>
    <mergeCell ref="C18:H18"/>
    <mergeCell ref="C19:H19"/>
  </mergeCells>
  <dataValidations>
    <dataValidation type="list" allowBlank="1" sqref="B41">
      <formula1>"Standard (7+ weeks),5-7 weeks,3-4 weeks,&lt;3 weeks"</formula1>
    </dataValidation>
    <dataValidation type="list" allowBlank="1" sqref="B26:B35">
      <formula1>"Feature Review,Full Implementation"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1.0"/>
    <col customWidth="1" min="3" max="3" width="12.0"/>
    <col customWidth="1" min="4" max="4" width="13.0"/>
    <col customWidth="1" min="5" max="5" width="20.0"/>
    <col customWidth="1" min="6" max="8" width="9.0"/>
    <col customWidth="1" min="9" max="9" width="10.0"/>
    <col customWidth="1" min="10" max="10" width="9.0"/>
    <col customWidth="1" min="11" max="11" width="8.0"/>
    <col customWidth="1" min="12" max="12" width="9.0"/>
    <col customWidth="1" min="13" max="13" width="10.0"/>
    <col customWidth="1" min="14" max="14" width="13.0"/>
    <col customWidth="1" min="15" max="26" width="8.71"/>
  </cols>
  <sheetData>
    <row r="1" ht="27.75" customHeight="1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45.75" customHeight="1">
      <c r="A2" s="4" t="s">
        <v>341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8.0" customHeight="1">
      <c r="A5" s="14" t="s">
        <v>351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18.0" customHeight="1">
      <c r="A6" s="14" t="s">
        <v>355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18.0" customHeight="1">
      <c r="A7" s="14" t="s">
        <v>356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ht="18.0" customHeight="1">
      <c r="A8" s="14" t="s">
        <v>358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18.0" customHeight="1">
      <c r="A9" s="9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ht="6.0" customHeight="1"/>
    <row r="11" ht="19.5" customHeight="1">
      <c r="A11" s="6" t="s">
        <v>361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5" t="s">
        <v>19</v>
      </c>
      <c r="B12" s="5" t="s">
        <v>20</v>
      </c>
      <c r="C12" s="11" t="s">
        <v>21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ht="30.0" customHeight="1">
      <c r="A13" s="15" t="s">
        <v>24</v>
      </c>
      <c r="B13" s="16">
        <f>'Global Assumptions'!$B$6</f>
        <v>258</v>
      </c>
      <c r="C13" s="17" t="s">
        <v>41</v>
      </c>
    </row>
    <row r="14" ht="4.5" customHeight="1"/>
    <row r="15" ht="24.0" customHeight="1">
      <c r="A15" s="20" t="s">
        <v>362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ht="30.0" customHeight="1">
      <c r="A16" s="15" t="s">
        <v>363</v>
      </c>
      <c r="B16" s="34">
        <v>2.0</v>
      </c>
      <c r="C16" s="17" t="s">
        <v>364</v>
      </c>
    </row>
    <row r="17" ht="30.0" customHeight="1">
      <c r="A17" s="15" t="s">
        <v>365</v>
      </c>
      <c r="B17" s="16">
        <v>0.15</v>
      </c>
      <c r="C17" s="17" t="s">
        <v>366</v>
      </c>
    </row>
    <row r="18" ht="30.0" customHeight="1">
      <c r="A18" s="15" t="s">
        <v>367</v>
      </c>
      <c r="B18" s="34">
        <v>1.0</v>
      </c>
      <c r="C18" s="17" t="s">
        <v>368</v>
      </c>
    </row>
    <row r="19" ht="4.5" customHeight="1"/>
    <row r="20" ht="24.0" customHeight="1">
      <c r="A20" s="20" t="s">
        <v>369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ht="30.0" customHeight="1">
      <c r="A21" s="15" t="s">
        <v>371</v>
      </c>
      <c r="B21" s="16">
        <v>3.0</v>
      </c>
      <c r="C21" s="17" t="s">
        <v>372</v>
      </c>
    </row>
    <row r="22" ht="30.0" customHeight="1">
      <c r="A22" s="15" t="s">
        <v>373</v>
      </c>
      <c r="B22" s="16">
        <v>0.25</v>
      </c>
      <c r="C22" s="17" t="s">
        <v>374</v>
      </c>
    </row>
    <row r="23" ht="30.0" customHeight="1">
      <c r="A23" s="15" t="s">
        <v>375</v>
      </c>
      <c r="B23" s="16">
        <v>2.0</v>
      </c>
      <c r="C23" s="17" t="s">
        <v>376</v>
      </c>
    </row>
    <row r="24" ht="4.5" customHeight="1"/>
    <row r="25" ht="24.0" customHeight="1">
      <c r="A25" s="20" t="s">
        <v>377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ht="30.0" customHeight="1">
      <c r="A26" s="15" t="s">
        <v>379</v>
      </c>
      <c r="B26" s="16">
        <v>8.0</v>
      </c>
      <c r="C26" s="17" t="s">
        <v>380</v>
      </c>
    </row>
    <row r="27" ht="4.5" customHeight="1"/>
    <row r="28" ht="24.0" customHeight="1">
      <c r="A28" s="20" t="s">
        <v>381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ht="30.0" customHeight="1">
      <c r="A29" s="15" t="s">
        <v>382</v>
      </c>
      <c r="B29" s="16">
        <v>0.0</v>
      </c>
      <c r="C29" s="17" t="s">
        <v>383</v>
      </c>
    </row>
    <row r="30" ht="30.0" customHeight="1">
      <c r="A30" s="15" t="s">
        <v>384</v>
      </c>
      <c r="B30" s="16">
        <v>0.0</v>
      </c>
      <c r="C30" s="17"/>
    </row>
    <row r="31" ht="30.0" customHeight="1">
      <c r="A31" s="15" t="s">
        <v>385</v>
      </c>
      <c r="B31" s="16">
        <v>24.0</v>
      </c>
      <c r="C31" s="17" t="s">
        <v>386</v>
      </c>
    </row>
    <row r="32" ht="30.0" customHeight="1">
      <c r="A32" s="15" t="s">
        <v>387</v>
      </c>
      <c r="B32" s="16">
        <v>6.0</v>
      </c>
      <c r="C32" s="17" t="s">
        <v>388</v>
      </c>
    </row>
    <row r="33" ht="30.0" customHeight="1">
      <c r="A33" s="15" t="s">
        <v>390</v>
      </c>
      <c r="B33" s="16">
        <v>40.0</v>
      </c>
      <c r="C33" s="17" t="s">
        <v>391</v>
      </c>
    </row>
    <row r="34" ht="30.0" customHeight="1">
      <c r="A34" s="15" t="s">
        <v>392</v>
      </c>
      <c r="B34" s="16">
        <v>10.0</v>
      </c>
      <c r="C34" s="17" t="s">
        <v>393</v>
      </c>
    </row>
    <row r="35" ht="4.5" customHeight="1"/>
    <row r="36" ht="24.0" customHeight="1">
      <c r="A36" s="20" t="s">
        <v>394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ht="30.0" customHeight="1">
      <c r="A37" s="15" t="s">
        <v>396</v>
      </c>
      <c r="B37" s="19">
        <v>0.15</v>
      </c>
      <c r="C37" s="17" t="s">
        <v>397</v>
      </c>
    </row>
    <row r="38" ht="30.0" customHeight="1">
      <c r="A38" s="15" t="s">
        <v>399</v>
      </c>
      <c r="B38" s="16">
        <v>4.0</v>
      </c>
      <c r="C38" s="17" t="s">
        <v>400</v>
      </c>
    </row>
    <row r="39" ht="15.75" customHeight="1"/>
    <row r="40" ht="19.5" customHeight="1">
      <c r="A40" s="6" t="s">
        <v>401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ht="15.75" customHeight="1">
      <c r="A41" s="24" t="s">
        <v>142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2" ht="33.75" customHeight="1">
      <c r="A42" s="25" t="s">
        <v>403</v>
      </c>
      <c r="B42" s="25" t="s">
        <v>404</v>
      </c>
      <c r="C42" s="25" t="s">
        <v>405</v>
      </c>
      <c r="D42" s="25" t="s">
        <v>406</v>
      </c>
      <c r="E42" s="25" t="s">
        <v>407</v>
      </c>
      <c r="F42" s="25" t="s">
        <v>408</v>
      </c>
      <c r="G42" s="25" t="s">
        <v>409</v>
      </c>
      <c r="H42" s="25" t="s">
        <v>410</v>
      </c>
      <c r="I42" s="25" t="s">
        <v>411</v>
      </c>
      <c r="J42" s="25" t="s">
        <v>412</v>
      </c>
      <c r="K42" s="25" t="s">
        <v>413</v>
      </c>
      <c r="L42" s="25" t="s">
        <v>414</v>
      </c>
      <c r="M42" s="25" t="s">
        <v>415</v>
      </c>
      <c r="N42" s="25" t="s">
        <v>117</v>
      </c>
    </row>
    <row r="43" ht="15.75" customHeight="1">
      <c r="A43" s="26" t="s">
        <v>416</v>
      </c>
      <c r="B43" s="27">
        <v>30.0</v>
      </c>
      <c r="C43" s="27">
        <v>2.0</v>
      </c>
      <c r="D43" s="27" t="s">
        <v>245</v>
      </c>
      <c r="E43" s="32" t="s">
        <v>417</v>
      </c>
      <c r="F43" s="27">
        <v>1.0</v>
      </c>
      <c r="G43" s="29">
        <f t="shared" ref="G43:G62" si="1">IF($A43="","",$B$16+$B43*$B$17+$C43*$B$18)</f>
        <v>8.5</v>
      </c>
      <c r="H43" s="29">
        <f t="shared" ref="H43:H62" si="2">IF($A43="","",$B$21+$B43*$B$22+$C43*$B$23)</f>
        <v>14.5</v>
      </c>
      <c r="I43" s="29">
        <f t="shared" ref="I43:I62" si="3">IF($A43="","",IF($D43="Y",$B$26,0))</f>
        <v>0</v>
      </c>
      <c r="J43" s="29">
        <f t="shared" ref="J43:J62" si="4">IF($A43="","",IF($E43="Read-only sidebar",$B$31+$F43*$B$32,IF($E43="Admin CRUD UI",$B$33+$F43*$B$34,$B$29+$F43*$B$30)))</f>
        <v>30</v>
      </c>
      <c r="K43" s="29">
        <f t="shared" ref="K43:K62" si="5">IF($A43="","",($G43+$H43+$J43)*$B$37)</f>
        <v>7.95</v>
      </c>
      <c r="L43" s="29">
        <f t="shared" ref="L43:L62" si="6">IF($A43="","",$B$38/20)</f>
        <v>0.2</v>
      </c>
      <c r="M43" s="29">
        <f t="shared" ref="M43:M62" si="7">IF($A43="","",SUM($G43:$L43))</f>
        <v>61.15</v>
      </c>
      <c r="N43" s="31">
        <f t="shared" ref="N43:N62" si="8">IF($A43="","",$M43*$B$13)</f>
        <v>15776.7</v>
      </c>
    </row>
    <row r="44" ht="15.75" customHeight="1">
      <c r="A44" s="26"/>
      <c r="B44" s="27"/>
      <c r="C44" s="27"/>
      <c r="D44" s="27"/>
      <c r="E44" s="27"/>
      <c r="F44" s="27"/>
      <c r="G44" s="29" t="str">
        <f t="shared" si="1"/>
        <v/>
      </c>
      <c r="H44" s="29" t="str">
        <f t="shared" si="2"/>
        <v/>
      </c>
      <c r="I44" s="29" t="str">
        <f t="shared" si="3"/>
        <v/>
      </c>
      <c r="J44" s="29" t="str">
        <f t="shared" si="4"/>
        <v/>
      </c>
      <c r="K44" s="29" t="str">
        <f t="shared" si="5"/>
        <v/>
      </c>
      <c r="L44" s="29" t="str">
        <f t="shared" si="6"/>
        <v/>
      </c>
      <c r="M44" s="29" t="str">
        <f t="shared" si="7"/>
        <v/>
      </c>
      <c r="N44" s="31" t="str">
        <f t="shared" si="8"/>
        <v/>
      </c>
    </row>
    <row r="45" ht="15.75" customHeight="1">
      <c r="A45" s="26"/>
      <c r="B45" s="27"/>
      <c r="C45" s="27"/>
      <c r="D45" s="27"/>
      <c r="E45" s="27"/>
      <c r="F45" s="27"/>
      <c r="G45" s="29" t="str">
        <f t="shared" si="1"/>
        <v/>
      </c>
      <c r="H45" s="29" t="str">
        <f t="shared" si="2"/>
        <v/>
      </c>
      <c r="I45" s="29" t="str">
        <f t="shared" si="3"/>
        <v/>
      </c>
      <c r="J45" s="29" t="str">
        <f t="shared" si="4"/>
        <v/>
      </c>
      <c r="K45" s="29" t="str">
        <f t="shared" si="5"/>
        <v/>
      </c>
      <c r="L45" s="29" t="str">
        <f t="shared" si="6"/>
        <v/>
      </c>
      <c r="M45" s="29" t="str">
        <f t="shared" si="7"/>
        <v/>
      </c>
      <c r="N45" s="31" t="str">
        <f t="shared" si="8"/>
        <v/>
      </c>
    </row>
    <row r="46" ht="15.75" customHeight="1">
      <c r="A46" s="26"/>
      <c r="B46" s="27"/>
      <c r="C46" s="27"/>
      <c r="D46" s="27"/>
      <c r="E46" s="27"/>
      <c r="F46" s="27"/>
      <c r="G46" s="29" t="str">
        <f t="shared" si="1"/>
        <v/>
      </c>
      <c r="H46" s="29" t="str">
        <f t="shared" si="2"/>
        <v/>
      </c>
      <c r="I46" s="29" t="str">
        <f t="shared" si="3"/>
        <v/>
      </c>
      <c r="J46" s="29" t="str">
        <f t="shared" si="4"/>
        <v/>
      </c>
      <c r="K46" s="29" t="str">
        <f t="shared" si="5"/>
        <v/>
      </c>
      <c r="L46" s="29" t="str">
        <f t="shared" si="6"/>
        <v/>
      </c>
      <c r="M46" s="29" t="str">
        <f t="shared" si="7"/>
        <v/>
      </c>
      <c r="N46" s="31" t="str">
        <f t="shared" si="8"/>
        <v/>
      </c>
    </row>
    <row r="47" ht="15.75" customHeight="1">
      <c r="A47" s="26"/>
      <c r="B47" s="27"/>
      <c r="C47" s="27"/>
      <c r="D47" s="27"/>
      <c r="E47" s="27"/>
      <c r="F47" s="27"/>
      <c r="G47" s="29" t="str">
        <f t="shared" si="1"/>
        <v/>
      </c>
      <c r="H47" s="29" t="str">
        <f t="shared" si="2"/>
        <v/>
      </c>
      <c r="I47" s="29" t="str">
        <f t="shared" si="3"/>
        <v/>
      </c>
      <c r="J47" s="29" t="str">
        <f t="shared" si="4"/>
        <v/>
      </c>
      <c r="K47" s="29" t="str">
        <f t="shared" si="5"/>
        <v/>
      </c>
      <c r="L47" s="29" t="str">
        <f t="shared" si="6"/>
        <v/>
      </c>
      <c r="M47" s="29" t="str">
        <f t="shared" si="7"/>
        <v/>
      </c>
      <c r="N47" s="31" t="str">
        <f t="shared" si="8"/>
        <v/>
      </c>
    </row>
    <row r="48" ht="15.75" customHeight="1">
      <c r="A48" s="26"/>
      <c r="B48" s="27"/>
      <c r="C48" s="27"/>
      <c r="D48" s="27"/>
      <c r="E48" s="27"/>
      <c r="F48" s="27"/>
      <c r="G48" s="29" t="str">
        <f t="shared" si="1"/>
        <v/>
      </c>
      <c r="H48" s="29" t="str">
        <f t="shared" si="2"/>
        <v/>
      </c>
      <c r="I48" s="29" t="str">
        <f t="shared" si="3"/>
        <v/>
      </c>
      <c r="J48" s="29" t="str">
        <f t="shared" si="4"/>
        <v/>
      </c>
      <c r="K48" s="29" t="str">
        <f t="shared" si="5"/>
        <v/>
      </c>
      <c r="L48" s="29" t="str">
        <f t="shared" si="6"/>
        <v/>
      </c>
      <c r="M48" s="29" t="str">
        <f t="shared" si="7"/>
        <v/>
      </c>
      <c r="N48" s="31" t="str">
        <f t="shared" si="8"/>
        <v/>
      </c>
    </row>
    <row r="49" ht="15.75" customHeight="1">
      <c r="A49" s="26"/>
      <c r="B49" s="27"/>
      <c r="C49" s="27"/>
      <c r="D49" s="27"/>
      <c r="E49" s="27"/>
      <c r="F49" s="27"/>
      <c r="G49" s="29" t="str">
        <f t="shared" si="1"/>
        <v/>
      </c>
      <c r="H49" s="29" t="str">
        <f t="shared" si="2"/>
        <v/>
      </c>
      <c r="I49" s="29" t="str">
        <f t="shared" si="3"/>
        <v/>
      </c>
      <c r="J49" s="29" t="str">
        <f t="shared" si="4"/>
        <v/>
      </c>
      <c r="K49" s="29" t="str">
        <f t="shared" si="5"/>
        <v/>
      </c>
      <c r="L49" s="29" t="str">
        <f t="shared" si="6"/>
        <v/>
      </c>
      <c r="M49" s="29" t="str">
        <f t="shared" si="7"/>
        <v/>
      </c>
      <c r="N49" s="31" t="str">
        <f t="shared" si="8"/>
        <v/>
      </c>
    </row>
    <row r="50" ht="15.75" customHeight="1">
      <c r="A50" s="26"/>
      <c r="B50" s="27"/>
      <c r="C50" s="27"/>
      <c r="D50" s="27"/>
      <c r="E50" s="27"/>
      <c r="F50" s="27"/>
      <c r="G50" s="29" t="str">
        <f t="shared" si="1"/>
        <v/>
      </c>
      <c r="H50" s="29" t="str">
        <f t="shared" si="2"/>
        <v/>
      </c>
      <c r="I50" s="29" t="str">
        <f t="shared" si="3"/>
        <v/>
      </c>
      <c r="J50" s="29" t="str">
        <f t="shared" si="4"/>
        <v/>
      </c>
      <c r="K50" s="29" t="str">
        <f t="shared" si="5"/>
        <v/>
      </c>
      <c r="L50" s="29" t="str">
        <f t="shared" si="6"/>
        <v/>
      </c>
      <c r="M50" s="29" t="str">
        <f t="shared" si="7"/>
        <v/>
      </c>
      <c r="N50" s="31" t="str">
        <f t="shared" si="8"/>
        <v/>
      </c>
    </row>
    <row r="51" ht="15.75" customHeight="1">
      <c r="A51" s="26"/>
      <c r="B51" s="27"/>
      <c r="C51" s="27"/>
      <c r="D51" s="27"/>
      <c r="E51" s="27"/>
      <c r="F51" s="27"/>
      <c r="G51" s="29" t="str">
        <f t="shared" si="1"/>
        <v/>
      </c>
      <c r="H51" s="29" t="str">
        <f t="shared" si="2"/>
        <v/>
      </c>
      <c r="I51" s="29" t="str">
        <f t="shared" si="3"/>
        <v/>
      </c>
      <c r="J51" s="29" t="str">
        <f t="shared" si="4"/>
        <v/>
      </c>
      <c r="K51" s="29" t="str">
        <f t="shared" si="5"/>
        <v/>
      </c>
      <c r="L51" s="29" t="str">
        <f t="shared" si="6"/>
        <v/>
      </c>
      <c r="M51" s="29" t="str">
        <f t="shared" si="7"/>
        <v/>
      </c>
      <c r="N51" s="31" t="str">
        <f t="shared" si="8"/>
        <v/>
      </c>
    </row>
    <row r="52" ht="15.75" customHeight="1">
      <c r="A52" s="26"/>
      <c r="B52" s="27"/>
      <c r="C52" s="27"/>
      <c r="D52" s="27"/>
      <c r="E52" s="27"/>
      <c r="F52" s="27"/>
      <c r="G52" s="29" t="str">
        <f t="shared" si="1"/>
        <v/>
      </c>
      <c r="H52" s="29" t="str">
        <f t="shared" si="2"/>
        <v/>
      </c>
      <c r="I52" s="29" t="str">
        <f t="shared" si="3"/>
        <v/>
      </c>
      <c r="J52" s="29" t="str">
        <f t="shared" si="4"/>
        <v/>
      </c>
      <c r="K52" s="29" t="str">
        <f t="shared" si="5"/>
        <v/>
      </c>
      <c r="L52" s="29" t="str">
        <f t="shared" si="6"/>
        <v/>
      </c>
      <c r="M52" s="29" t="str">
        <f t="shared" si="7"/>
        <v/>
      </c>
      <c r="N52" s="31" t="str">
        <f t="shared" si="8"/>
        <v/>
      </c>
    </row>
    <row r="53" ht="15.75" customHeight="1">
      <c r="A53" s="26"/>
      <c r="B53" s="27"/>
      <c r="C53" s="27"/>
      <c r="D53" s="27"/>
      <c r="E53" s="27"/>
      <c r="F53" s="27"/>
      <c r="G53" s="29" t="str">
        <f t="shared" si="1"/>
        <v/>
      </c>
      <c r="H53" s="29" t="str">
        <f t="shared" si="2"/>
        <v/>
      </c>
      <c r="I53" s="29" t="str">
        <f t="shared" si="3"/>
        <v/>
      </c>
      <c r="J53" s="29" t="str">
        <f t="shared" si="4"/>
        <v/>
      </c>
      <c r="K53" s="29" t="str">
        <f t="shared" si="5"/>
        <v/>
      </c>
      <c r="L53" s="29" t="str">
        <f t="shared" si="6"/>
        <v/>
      </c>
      <c r="M53" s="29" t="str">
        <f t="shared" si="7"/>
        <v/>
      </c>
      <c r="N53" s="31" t="str">
        <f t="shared" si="8"/>
        <v/>
      </c>
    </row>
    <row r="54" ht="15.75" customHeight="1">
      <c r="A54" s="26"/>
      <c r="B54" s="27"/>
      <c r="C54" s="27"/>
      <c r="D54" s="27"/>
      <c r="E54" s="27"/>
      <c r="F54" s="27"/>
      <c r="G54" s="29" t="str">
        <f t="shared" si="1"/>
        <v/>
      </c>
      <c r="H54" s="29" t="str">
        <f t="shared" si="2"/>
        <v/>
      </c>
      <c r="I54" s="29" t="str">
        <f t="shared" si="3"/>
        <v/>
      </c>
      <c r="J54" s="29" t="str">
        <f t="shared" si="4"/>
        <v/>
      </c>
      <c r="K54" s="29" t="str">
        <f t="shared" si="5"/>
        <v/>
      </c>
      <c r="L54" s="29" t="str">
        <f t="shared" si="6"/>
        <v/>
      </c>
      <c r="M54" s="29" t="str">
        <f t="shared" si="7"/>
        <v/>
      </c>
      <c r="N54" s="31" t="str">
        <f t="shared" si="8"/>
        <v/>
      </c>
    </row>
    <row r="55" ht="15.75" customHeight="1">
      <c r="A55" s="26"/>
      <c r="B55" s="27"/>
      <c r="C55" s="27"/>
      <c r="D55" s="27"/>
      <c r="E55" s="27"/>
      <c r="F55" s="27"/>
      <c r="G55" s="29" t="str">
        <f t="shared" si="1"/>
        <v/>
      </c>
      <c r="H55" s="29" t="str">
        <f t="shared" si="2"/>
        <v/>
      </c>
      <c r="I55" s="29" t="str">
        <f t="shared" si="3"/>
        <v/>
      </c>
      <c r="J55" s="29" t="str">
        <f t="shared" si="4"/>
        <v/>
      </c>
      <c r="K55" s="29" t="str">
        <f t="shared" si="5"/>
        <v/>
      </c>
      <c r="L55" s="29" t="str">
        <f t="shared" si="6"/>
        <v/>
      </c>
      <c r="M55" s="29" t="str">
        <f t="shared" si="7"/>
        <v/>
      </c>
      <c r="N55" s="31" t="str">
        <f t="shared" si="8"/>
        <v/>
      </c>
    </row>
    <row r="56" ht="15.75" customHeight="1">
      <c r="A56" s="26"/>
      <c r="B56" s="27"/>
      <c r="C56" s="27"/>
      <c r="D56" s="27"/>
      <c r="E56" s="27"/>
      <c r="F56" s="27"/>
      <c r="G56" s="29" t="str">
        <f t="shared" si="1"/>
        <v/>
      </c>
      <c r="H56" s="29" t="str">
        <f t="shared" si="2"/>
        <v/>
      </c>
      <c r="I56" s="29" t="str">
        <f t="shared" si="3"/>
        <v/>
      </c>
      <c r="J56" s="29" t="str">
        <f t="shared" si="4"/>
        <v/>
      </c>
      <c r="K56" s="29" t="str">
        <f t="shared" si="5"/>
        <v/>
      </c>
      <c r="L56" s="29" t="str">
        <f t="shared" si="6"/>
        <v/>
      </c>
      <c r="M56" s="29" t="str">
        <f t="shared" si="7"/>
        <v/>
      </c>
      <c r="N56" s="31" t="str">
        <f t="shared" si="8"/>
        <v/>
      </c>
    </row>
    <row r="57" ht="15.75" customHeight="1">
      <c r="A57" s="26"/>
      <c r="B57" s="27"/>
      <c r="C57" s="27"/>
      <c r="D57" s="27"/>
      <c r="E57" s="27"/>
      <c r="F57" s="27"/>
      <c r="G57" s="29" t="str">
        <f t="shared" si="1"/>
        <v/>
      </c>
      <c r="H57" s="29" t="str">
        <f t="shared" si="2"/>
        <v/>
      </c>
      <c r="I57" s="29" t="str">
        <f t="shared" si="3"/>
        <v/>
      </c>
      <c r="J57" s="29" t="str">
        <f t="shared" si="4"/>
        <v/>
      </c>
      <c r="K57" s="29" t="str">
        <f t="shared" si="5"/>
        <v/>
      </c>
      <c r="L57" s="29" t="str">
        <f t="shared" si="6"/>
        <v/>
      </c>
      <c r="M57" s="29" t="str">
        <f t="shared" si="7"/>
        <v/>
      </c>
      <c r="N57" s="31" t="str">
        <f t="shared" si="8"/>
        <v/>
      </c>
    </row>
    <row r="58" ht="15.75" customHeight="1">
      <c r="A58" s="26"/>
      <c r="B58" s="27"/>
      <c r="C58" s="27"/>
      <c r="D58" s="27"/>
      <c r="E58" s="27"/>
      <c r="F58" s="27"/>
      <c r="G58" s="29" t="str">
        <f t="shared" si="1"/>
        <v/>
      </c>
      <c r="H58" s="29" t="str">
        <f t="shared" si="2"/>
        <v/>
      </c>
      <c r="I58" s="29" t="str">
        <f t="shared" si="3"/>
        <v/>
      </c>
      <c r="J58" s="29" t="str">
        <f t="shared" si="4"/>
        <v/>
      </c>
      <c r="K58" s="29" t="str">
        <f t="shared" si="5"/>
        <v/>
      </c>
      <c r="L58" s="29" t="str">
        <f t="shared" si="6"/>
        <v/>
      </c>
      <c r="M58" s="29" t="str">
        <f t="shared" si="7"/>
        <v/>
      </c>
      <c r="N58" s="31" t="str">
        <f t="shared" si="8"/>
        <v/>
      </c>
    </row>
    <row r="59" ht="15.75" customHeight="1">
      <c r="A59" s="26"/>
      <c r="B59" s="27"/>
      <c r="C59" s="27"/>
      <c r="D59" s="27"/>
      <c r="E59" s="27"/>
      <c r="F59" s="27"/>
      <c r="G59" s="29" t="str">
        <f t="shared" si="1"/>
        <v/>
      </c>
      <c r="H59" s="29" t="str">
        <f t="shared" si="2"/>
        <v/>
      </c>
      <c r="I59" s="29" t="str">
        <f t="shared" si="3"/>
        <v/>
      </c>
      <c r="J59" s="29" t="str">
        <f t="shared" si="4"/>
        <v/>
      </c>
      <c r="K59" s="29" t="str">
        <f t="shared" si="5"/>
        <v/>
      </c>
      <c r="L59" s="29" t="str">
        <f t="shared" si="6"/>
        <v/>
      </c>
      <c r="M59" s="29" t="str">
        <f t="shared" si="7"/>
        <v/>
      </c>
      <c r="N59" s="31" t="str">
        <f t="shared" si="8"/>
        <v/>
      </c>
    </row>
    <row r="60" ht="15.75" customHeight="1">
      <c r="A60" s="26"/>
      <c r="B60" s="27"/>
      <c r="C60" s="27"/>
      <c r="D60" s="27"/>
      <c r="E60" s="27"/>
      <c r="F60" s="27"/>
      <c r="G60" s="29" t="str">
        <f t="shared" si="1"/>
        <v/>
      </c>
      <c r="H60" s="29" t="str">
        <f t="shared" si="2"/>
        <v/>
      </c>
      <c r="I60" s="29" t="str">
        <f t="shared" si="3"/>
        <v/>
      </c>
      <c r="J60" s="29" t="str">
        <f t="shared" si="4"/>
        <v/>
      </c>
      <c r="K60" s="29" t="str">
        <f t="shared" si="5"/>
        <v/>
      </c>
      <c r="L60" s="29" t="str">
        <f t="shared" si="6"/>
        <v/>
      </c>
      <c r="M60" s="29" t="str">
        <f t="shared" si="7"/>
        <v/>
      </c>
      <c r="N60" s="31" t="str">
        <f t="shared" si="8"/>
        <v/>
      </c>
    </row>
    <row r="61" ht="15.75" customHeight="1">
      <c r="A61" s="26"/>
      <c r="B61" s="27"/>
      <c r="C61" s="27"/>
      <c r="D61" s="27"/>
      <c r="E61" s="27"/>
      <c r="F61" s="27"/>
      <c r="G61" s="29" t="str">
        <f t="shared" si="1"/>
        <v/>
      </c>
      <c r="H61" s="29" t="str">
        <f t="shared" si="2"/>
        <v/>
      </c>
      <c r="I61" s="29" t="str">
        <f t="shared" si="3"/>
        <v/>
      </c>
      <c r="J61" s="29" t="str">
        <f t="shared" si="4"/>
        <v/>
      </c>
      <c r="K61" s="29" t="str">
        <f t="shared" si="5"/>
        <v/>
      </c>
      <c r="L61" s="29" t="str">
        <f t="shared" si="6"/>
        <v/>
      </c>
      <c r="M61" s="29" t="str">
        <f t="shared" si="7"/>
        <v/>
      </c>
      <c r="N61" s="31" t="str">
        <f t="shared" si="8"/>
        <v/>
      </c>
    </row>
    <row r="62" ht="15.75" customHeight="1">
      <c r="A62" s="26"/>
      <c r="B62" s="27"/>
      <c r="C62" s="27"/>
      <c r="D62" s="27"/>
      <c r="E62" s="27"/>
      <c r="F62" s="27"/>
      <c r="G62" s="29" t="str">
        <f t="shared" si="1"/>
        <v/>
      </c>
      <c r="H62" s="29" t="str">
        <f t="shared" si="2"/>
        <v/>
      </c>
      <c r="I62" s="29" t="str">
        <f t="shared" si="3"/>
        <v/>
      </c>
      <c r="J62" s="29" t="str">
        <f t="shared" si="4"/>
        <v/>
      </c>
      <c r="K62" s="29" t="str">
        <f t="shared" si="5"/>
        <v/>
      </c>
      <c r="L62" s="29" t="str">
        <f t="shared" si="6"/>
        <v/>
      </c>
      <c r="M62" s="29" t="str">
        <f t="shared" si="7"/>
        <v/>
      </c>
      <c r="N62" s="31" t="str">
        <f t="shared" si="8"/>
        <v/>
      </c>
    </row>
    <row r="63" ht="15.75" customHeight="1">
      <c r="A63" s="33" t="s">
        <v>159</v>
      </c>
      <c r="B63" s="37">
        <f t="shared" ref="B63:C63" si="9">SUM(B43:B62)</f>
        <v>30</v>
      </c>
      <c r="C63" s="37">
        <f t="shared" si="9"/>
        <v>2</v>
      </c>
      <c r="D63" s="36"/>
      <c r="E63" s="36"/>
      <c r="F63" s="36"/>
      <c r="G63" s="37">
        <f t="shared" ref="G63:N63" si="10">SUM(G43:G62)</f>
        <v>8.5</v>
      </c>
      <c r="H63" s="37">
        <f t="shared" si="10"/>
        <v>14.5</v>
      </c>
      <c r="I63" s="37">
        <f t="shared" si="10"/>
        <v>0</v>
      </c>
      <c r="J63" s="37">
        <f t="shared" si="10"/>
        <v>30</v>
      </c>
      <c r="K63" s="37">
        <f t="shared" si="10"/>
        <v>7.95</v>
      </c>
      <c r="L63" s="37">
        <f t="shared" si="10"/>
        <v>0.2</v>
      </c>
      <c r="M63" s="37">
        <f t="shared" si="10"/>
        <v>61.15</v>
      </c>
      <c r="N63" s="38">
        <f t="shared" si="10"/>
        <v>15776.7</v>
      </c>
    </row>
    <row r="64" ht="15.75" customHeight="1">
      <c r="A64" s="44" t="s">
        <v>540</v>
      </c>
      <c r="B64" s="45">
        <f>COUNTIF($A43:$A62,"&lt;&gt;")</f>
        <v>1</v>
      </c>
    </row>
    <row r="65" ht="18.0" customHeight="1">
      <c r="A65" s="6" t="s">
        <v>170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</row>
    <row r="66" ht="15.0" customHeight="1">
      <c r="A66" s="39" t="s">
        <v>548</v>
      </c>
      <c r="B66" s="46" t="str">
        <f>IF($B$63=0,"— enter objects above —",IF(AND($B$64&lt;=1,$B$63&lt;25,$C$63=0),"Low",IF(AND($B$64&lt;=2,$B$63&lt;=100),"Mid","High")))</f>
        <v>Mid</v>
      </c>
      <c r="C66" s="47" t="s">
        <v>557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</row>
    <row r="67" ht="15.75" customHeight="1">
      <c r="A67" s="39" t="s">
        <v>558</v>
      </c>
      <c r="B67" s="48">
        <f>$M$63</f>
        <v>61.15</v>
      </c>
      <c r="C67" s="49">
        <f>$N$63</f>
        <v>15776.7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ht="15.75" customHeight="1">
      <c r="A68" s="39" t="s">
        <v>559</v>
      </c>
      <c r="B68" s="40">
        <f>IF($B$67=0,0,$B$67*'Global Assumptions'!$B$7)</f>
        <v>21.4025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ht="15.75" customHeight="1">
      <c r="A69" s="39" t="s">
        <v>176</v>
      </c>
      <c r="B69" s="27" t="s">
        <v>177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ht="15.75" customHeight="1">
      <c r="A70" s="39" t="s">
        <v>178</v>
      </c>
      <c r="B70" s="40">
        <f>($B$67+$B$68)*IF($B$69="5-7 weeks",'Global Assumptions'!$B$11,IF($B$69="3-4 weeks",'Global Assumptions'!$B$12,IF($B$69="&lt;3 weeks",'Global Assumptions'!$B$13,'Global Assumptions'!$B$10)))</f>
        <v>82.5525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ht="15.75" customHeight="1">
      <c r="A71" s="39" t="s">
        <v>561</v>
      </c>
      <c r="B71" s="42">
        <f>$B$70*$B$13</f>
        <v>21298.545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ht="15.75" customHeight="1"/>
    <row r="73" ht="19.5" customHeight="1">
      <c r="A73" s="43" t="s">
        <v>563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C12:N12"/>
    <mergeCell ref="C13:N13"/>
    <mergeCell ref="C16:N16"/>
    <mergeCell ref="C17:N17"/>
    <mergeCell ref="C18:N18"/>
    <mergeCell ref="C21:N21"/>
    <mergeCell ref="C22:N22"/>
    <mergeCell ref="C23:N23"/>
    <mergeCell ref="C26:N26"/>
    <mergeCell ref="C29:N29"/>
    <mergeCell ref="C30:N30"/>
    <mergeCell ref="C31:N31"/>
    <mergeCell ref="A65:N65"/>
    <mergeCell ref="C66:N66"/>
    <mergeCell ref="A73:N73"/>
    <mergeCell ref="C32:N32"/>
    <mergeCell ref="C33:N33"/>
    <mergeCell ref="C34:N34"/>
    <mergeCell ref="C37:N37"/>
    <mergeCell ref="C38:N38"/>
    <mergeCell ref="A40:N40"/>
    <mergeCell ref="A41:N41"/>
  </mergeCells>
  <dataValidations>
    <dataValidation type="list" allowBlank="1" sqref="D43:D62">
      <formula1>"Y,N"</formula1>
    </dataValidation>
    <dataValidation type="list" allowBlank="1" sqref="B69">
      <formula1>"Standard (7+ weeks),5-7 weeks,3-4 weeks,&lt;3 weeks"</formula1>
    </dataValidation>
    <dataValidation type="list" allowBlank="1" sqref="E43:E62">
      <formula1>"None,Read-only sidebar,Admin CRUD UI"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3" width="11.0"/>
    <col customWidth="1" min="4" max="4" width="10.0"/>
    <col customWidth="1" min="5" max="5" width="12.0"/>
    <col customWidth="1" min="6" max="6" width="15.0"/>
    <col customWidth="1" min="7" max="7" width="17.0"/>
    <col customWidth="1" min="8" max="9" width="8.0"/>
    <col customWidth="1" min="10" max="11" width="10.0"/>
    <col customWidth="1" min="12" max="12" width="8.0"/>
    <col customWidth="1" min="13" max="13" width="9.0"/>
    <col customWidth="1" min="14" max="14" width="12.0"/>
    <col customWidth="1" min="15" max="26" width="8.71"/>
  </cols>
  <sheetData>
    <row r="1" ht="27.75" customHeight="1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45.75" customHeight="1">
      <c r="A2" s="4" t="s">
        <v>378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8.0" customHeight="1">
      <c r="A5" s="14" t="s">
        <v>389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18.0" customHeight="1">
      <c r="A6" s="14" t="s">
        <v>395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18.0" customHeight="1">
      <c r="A7" s="14" t="s">
        <v>398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ht="18.0" customHeight="1">
      <c r="A8" s="14" t="s">
        <v>402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18.0" customHeight="1">
      <c r="A9" s="9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ht="6.0" customHeight="1"/>
    <row r="11" ht="19.5" customHeight="1">
      <c r="A11" s="6" t="s">
        <v>361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>
      <c r="A12" s="5" t="s">
        <v>19</v>
      </c>
      <c r="B12" s="5" t="s">
        <v>20</v>
      </c>
      <c r="C12" s="11" t="s">
        <v>21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ht="30.0" customHeight="1">
      <c r="A13" s="15" t="s">
        <v>24</v>
      </c>
      <c r="B13" s="16">
        <f>'Global Assumptions'!$B$6</f>
        <v>258</v>
      </c>
      <c r="C13" s="17" t="s">
        <v>41</v>
      </c>
    </row>
    <row r="14" ht="4.5" customHeight="1"/>
    <row r="15" ht="24.0" customHeight="1">
      <c r="A15" s="20" t="s">
        <v>418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ht="30.0" customHeight="1">
      <c r="A16" s="15" t="s">
        <v>420</v>
      </c>
      <c r="B16" s="16">
        <v>8.0</v>
      </c>
      <c r="C16" s="17" t="s">
        <v>421</v>
      </c>
    </row>
    <row r="17" ht="4.5" customHeight="1"/>
    <row r="18" ht="24.0" customHeight="1">
      <c r="A18" s="20" t="s">
        <v>422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ht="30.0" customHeight="1">
      <c r="A19" s="15" t="s">
        <v>424</v>
      </c>
      <c r="B19" s="16">
        <v>2.0</v>
      </c>
      <c r="C19" s="17" t="s">
        <v>425</v>
      </c>
    </row>
    <row r="20" ht="30.0" customHeight="1">
      <c r="A20" s="15" t="s">
        <v>426</v>
      </c>
      <c r="B20" s="34">
        <v>4.0</v>
      </c>
      <c r="C20" s="17" t="s">
        <v>427</v>
      </c>
    </row>
    <row r="21" ht="30.0" customHeight="1">
      <c r="A21" s="15" t="s">
        <v>428</v>
      </c>
      <c r="B21" s="34">
        <v>4.0</v>
      </c>
      <c r="C21" s="17" t="s">
        <v>429</v>
      </c>
    </row>
    <row r="22" ht="4.5" customHeight="1"/>
    <row r="23" ht="24.0" customHeight="1">
      <c r="A23" s="20" t="s">
        <v>431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ht="30.0" customHeight="1">
      <c r="A24" s="15" t="s">
        <v>432</v>
      </c>
      <c r="B24" s="16">
        <v>0.2</v>
      </c>
      <c r="C24" s="17" t="s">
        <v>433</v>
      </c>
    </row>
    <row r="25" ht="4.5" customHeight="1"/>
    <row r="26" ht="24.0" customHeight="1">
      <c r="A26" s="20" t="s">
        <v>434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ht="30.0" customHeight="1">
      <c r="A27" s="15" t="s">
        <v>435</v>
      </c>
      <c r="B27" s="16">
        <v>0.15</v>
      </c>
      <c r="C27" s="17" t="s">
        <v>436</v>
      </c>
    </row>
    <row r="28" ht="4.5" customHeight="1"/>
    <row r="29" ht="24.0" customHeight="1">
      <c r="A29" s="20" t="s">
        <v>437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ht="30.0" customHeight="1">
      <c r="A30" s="15" t="s">
        <v>439</v>
      </c>
      <c r="B30" s="16">
        <v>200.0</v>
      </c>
      <c r="C30" s="17" t="s">
        <v>440</v>
      </c>
    </row>
    <row r="31" ht="30.0" customHeight="1">
      <c r="A31" s="15" t="s">
        <v>441</v>
      </c>
      <c r="B31" s="16">
        <v>3.0</v>
      </c>
      <c r="C31" s="17" t="s">
        <v>442</v>
      </c>
    </row>
    <row r="32" ht="30.0" customHeight="1">
      <c r="A32" s="15" t="s">
        <v>443</v>
      </c>
      <c r="B32" s="16">
        <v>4.0</v>
      </c>
      <c r="C32" s="17" t="s">
        <v>444</v>
      </c>
    </row>
    <row r="33" ht="30.0" customHeight="1">
      <c r="A33" s="15" t="s">
        <v>446</v>
      </c>
      <c r="B33" s="16">
        <v>1.5</v>
      </c>
      <c r="C33" s="17" t="s">
        <v>447</v>
      </c>
    </row>
    <row r="34" ht="4.5" customHeight="1"/>
    <row r="35" ht="24.0" customHeight="1">
      <c r="A35" s="20" t="s">
        <v>448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ht="30.0" customHeight="1">
      <c r="A36" s="15" t="s">
        <v>449</v>
      </c>
      <c r="B36" s="16">
        <v>0.75</v>
      </c>
      <c r="C36" s="17" t="s">
        <v>450</v>
      </c>
    </row>
    <row r="37" ht="30.0" customHeight="1">
      <c r="A37" s="15" t="s">
        <v>451</v>
      </c>
      <c r="B37" s="16">
        <v>1.0</v>
      </c>
      <c r="C37" s="17" t="s">
        <v>452</v>
      </c>
    </row>
    <row r="38" ht="30.0" customHeight="1">
      <c r="A38" s="15" t="s">
        <v>453</v>
      </c>
      <c r="B38" s="16">
        <v>1.0</v>
      </c>
      <c r="C38" s="17" t="s">
        <v>454</v>
      </c>
    </row>
    <row r="39" ht="4.5" customHeight="1"/>
    <row r="40" ht="24.0" customHeight="1">
      <c r="A40" s="20" t="s">
        <v>455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ht="30.0" customHeight="1">
      <c r="A41" s="15" t="s">
        <v>456</v>
      </c>
      <c r="B41" s="16">
        <v>0.0</v>
      </c>
      <c r="C41" s="17" t="s">
        <v>457</v>
      </c>
    </row>
    <row r="42" ht="30.0" customHeight="1">
      <c r="A42" s="15" t="s">
        <v>458</v>
      </c>
      <c r="B42" s="16">
        <v>10.0</v>
      </c>
      <c r="C42" s="17" t="s">
        <v>459</v>
      </c>
    </row>
    <row r="43" ht="4.5" customHeight="1"/>
    <row r="44" ht="24.0" customHeight="1">
      <c r="A44" s="20" t="s">
        <v>394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ht="30.0" customHeight="1">
      <c r="A45" s="15" t="s">
        <v>460</v>
      </c>
      <c r="B45" s="19">
        <v>0.15</v>
      </c>
      <c r="C45" s="17" t="s">
        <v>461</v>
      </c>
    </row>
    <row r="46" ht="15.75" customHeight="1"/>
    <row r="47" ht="19.5" customHeight="1">
      <c r="A47" s="6" t="s">
        <v>462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</row>
    <row r="48" ht="15.75" customHeight="1">
      <c r="A48" s="24" t="s">
        <v>463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</row>
    <row r="49" ht="33.75" customHeight="1">
      <c r="A49" s="25" t="s">
        <v>465</v>
      </c>
      <c r="B49" s="25" t="s">
        <v>466</v>
      </c>
      <c r="C49" s="25" t="s">
        <v>467</v>
      </c>
      <c r="D49" s="25" t="s">
        <v>468</v>
      </c>
      <c r="E49" s="25" t="s">
        <v>469</v>
      </c>
      <c r="F49" s="25" t="s">
        <v>470</v>
      </c>
      <c r="G49" s="25" t="s">
        <v>471</v>
      </c>
      <c r="H49" s="25" t="s">
        <v>472</v>
      </c>
      <c r="I49" s="25" t="s">
        <v>473</v>
      </c>
      <c r="J49" s="25" t="s">
        <v>474</v>
      </c>
      <c r="K49" s="25" t="s">
        <v>475</v>
      </c>
      <c r="L49" s="25" t="s">
        <v>476</v>
      </c>
      <c r="M49" s="25" t="s">
        <v>116</v>
      </c>
      <c r="N49" s="25" t="s">
        <v>117</v>
      </c>
    </row>
    <row r="50" ht="15.75" customHeight="1">
      <c r="A50" s="26" t="s">
        <v>478</v>
      </c>
      <c r="B50" s="32">
        <v>120000.0</v>
      </c>
      <c r="C50" s="27"/>
      <c r="D50" s="32">
        <v>20.0</v>
      </c>
      <c r="E50" s="27">
        <v>260.0</v>
      </c>
      <c r="F50" s="32" t="s">
        <v>482</v>
      </c>
      <c r="G50" s="27" t="s">
        <v>485</v>
      </c>
      <c r="H50" s="29">
        <f t="shared" ref="H50:H64" si="1">IF($A50="","",IF($D50&lt;=10,$B$19,IF($D50&lt;=30,$B$20,$B$20+CEILING(($D50-30)/20,1)*$B$21)))</f>
        <v>4</v>
      </c>
      <c r="I50" s="29">
        <f t="shared" ref="I50:I64" si="2">IF($A50="","",($B50/1000)*$B$24)</f>
        <v>24</v>
      </c>
      <c r="J50" s="29">
        <f t="shared" ref="J50:J64" si="3">IF($A50="","",($C50/1000)*$B$27)</f>
        <v>0</v>
      </c>
      <c r="K50" s="29">
        <f t="shared" ref="K50:K64" si="4">IF($A50="","",IF($E50&lt;=$B$30,$B$31,$B$32+CEILING($E50/1000,1)*$B$33))</f>
        <v>5.5</v>
      </c>
      <c r="L50" s="29">
        <f t="shared" ref="L50:L64" si="5">IF($A50="","",($H50+$I50+$J50+$K50)*IF($F50="API pull",$B$37,IF($F50="CRM (Salesforce / other)",$B$38,$B$36))*$B$45)</f>
        <v>5.025</v>
      </c>
      <c r="M50" s="29">
        <f t="shared" ref="M50:M64" si="6">IF($A50="","",($H50+$I50+$J50+$K50)*IF($F50="API pull",$B$37,IF($F50="CRM (Salesforce / other)",$B$38,$B$36))+$L50+IF($G50="Migration tool (e.g. Relokia)",$B$42,$B$41)+$B$16/15)</f>
        <v>39.05833333</v>
      </c>
      <c r="N50" s="31">
        <f t="shared" ref="N50:N64" si="7">IF($A50="","",$M50*$B$13)</f>
        <v>10077.05</v>
      </c>
    </row>
    <row r="51" ht="15.75" customHeight="1">
      <c r="A51" s="26"/>
      <c r="B51" s="27"/>
      <c r="C51" s="27"/>
      <c r="D51" s="27"/>
      <c r="E51" s="27"/>
      <c r="F51" s="27"/>
      <c r="G51" s="27"/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  <c r="L51" s="29" t="str">
        <f t="shared" si="5"/>
        <v/>
      </c>
      <c r="M51" s="29" t="str">
        <f t="shared" si="6"/>
        <v/>
      </c>
      <c r="N51" s="31" t="str">
        <f t="shared" si="7"/>
        <v/>
      </c>
    </row>
    <row r="52" ht="15.75" customHeight="1">
      <c r="A52" s="26"/>
      <c r="B52" s="27"/>
      <c r="C52" s="27"/>
      <c r="D52" s="27"/>
      <c r="E52" s="27"/>
      <c r="F52" s="27"/>
      <c r="G52" s="27"/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  <c r="L52" s="29" t="str">
        <f t="shared" si="5"/>
        <v/>
      </c>
      <c r="M52" s="29" t="str">
        <f t="shared" si="6"/>
        <v/>
      </c>
      <c r="N52" s="31" t="str">
        <f t="shared" si="7"/>
        <v/>
      </c>
    </row>
    <row r="53" ht="15.75" customHeight="1">
      <c r="A53" s="26"/>
      <c r="B53" s="27"/>
      <c r="C53" s="27"/>
      <c r="D53" s="27"/>
      <c r="E53" s="27"/>
      <c r="F53" s="27"/>
      <c r="G53" s="27"/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  <c r="L53" s="29" t="str">
        <f t="shared" si="5"/>
        <v/>
      </c>
      <c r="M53" s="29" t="str">
        <f t="shared" si="6"/>
        <v/>
      </c>
      <c r="N53" s="31" t="str">
        <f t="shared" si="7"/>
        <v/>
      </c>
    </row>
    <row r="54" ht="15.75" customHeight="1">
      <c r="A54" s="26"/>
      <c r="B54" s="27"/>
      <c r="C54" s="27"/>
      <c r="D54" s="27"/>
      <c r="E54" s="27"/>
      <c r="F54" s="27"/>
      <c r="G54" s="27"/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  <c r="L54" s="29" t="str">
        <f t="shared" si="5"/>
        <v/>
      </c>
      <c r="M54" s="29" t="str">
        <f t="shared" si="6"/>
        <v/>
      </c>
      <c r="N54" s="31" t="str">
        <f t="shared" si="7"/>
        <v/>
      </c>
    </row>
    <row r="55" ht="15.75" customHeight="1">
      <c r="A55" s="26"/>
      <c r="B55" s="27"/>
      <c r="C55" s="27"/>
      <c r="D55" s="27"/>
      <c r="E55" s="27"/>
      <c r="F55" s="27"/>
      <c r="G55" s="27"/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  <c r="L55" s="29" t="str">
        <f t="shared" si="5"/>
        <v/>
      </c>
      <c r="M55" s="29" t="str">
        <f t="shared" si="6"/>
        <v/>
      </c>
      <c r="N55" s="31" t="str">
        <f t="shared" si="7"/>
        <v/>
      </c>
    </row>
    <row r="56" ht="15.75" customHeight="1">
      <c r="A56" s="26"/>
      <c r="B56" s="27"/>
      <c r="C56" s="27"/>
      <c r="D56" s="27"/>
      <c r="E56" s="27"/>
      <c r="F56" s="27"/>
      <c r="G56" s="27"/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  <c r="L56" s="29" t="str">
        <f t="shared" si="5"/>
        <v/>
      </c>
      <c r="M56" s="29" t="str">
        <f t="shared" si="6"/>
        <v/>
      </c>
      <c r="N56" s="31" t="str">
        <f t="shared" si="7"/>
        <v/>
      </c>
    </row>
    <row r="57" ht="15.75" customHeight="1">
      <c r="A57" s="26"/>
      <c r="B57" s="27"/>
      <c r="C57" s="27"/>
      <c r="D57" s="27"/>
      <c r="E57" s="27"/>
      <c r="F57" s="27"/>
      <c r="G57" s="27"/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  <c r="L57" s="29" t="str">
        <f t="shared" si="5"/>
        <v/>
      </c>
      <c r="M57" s="29" t="str">
        <f t="shared" si="6"/>
        <v/>
      </c>
      <c r="N57" s="31" t="str">
        <f t="shared" si="7"/>
        <v/>
      </c>
    </row>
    <row r="58" ht="15.75" customHeight="1">
      <c r="A58" s="26"/>
      <c r="B58" s="27"/>
      <c r="C58" s="27"/>
      <c r="D58" s="27"/>
      <c r="E58" s="27"/>
      <c r="F58" s="27"/>
      <c r="G58" s="27"/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  <c r="L58" s="29" t="str">
        <f t="shared" si="5"/>
        <v/>
      </c>
      <c r="M58" s="29" t="str">
        <f t="shared" si="6"/>
        <v/>
      </c>
      <c r="N58" s="31" t="str">
        <f t="shared" si="7"/>
        <v/>
      </c>
    </row>
    <row r="59" ht="15.75" customHeight="1">
      <c r="A59" s="26"/>
      <c r="B59" s="27"/>
      <c r="C59" s="27"/>
      <c r="D59" s="27"/>
      <c r="E59" s="27"/>
      <c r="F59" s="27"/>
      <c r="G59" s="27"/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  <c r="L59" s="29" t="str">
        <f t="shared" si="5"/>
        <v/>
      </c>
      <c r="M59" s="29" t="str">
        <f t="shared" si="6"/>
        <v/>
      </c>
      <c r="N59" s="31" t="str">
        <f t="shared" si="7"/>
        <v/>
      </c>
    </row>
    <row r="60" ht="15.75" customHeight="1">
      <c r="A60" s="26"/>
      <c r="B60" s="27"/>
      <c r="C60" s="27"/>
      <c r="D60" s="27"/>
      <c r="E60" s="27"/>
      <c r="F60" s="27"/>
      <c r="G60" s="27"/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  <c r="L60" s="29" t="str">
        <f t="shared" si="5"/>
        <v/>
      </c>
      <c r="M60" s="29" t="str">
        <f t="shared" si="6"/>
        <v/>
      </c>
      <c r="N60" s="31" t="str">
        <f t="shared" si="7"/>
        <v/>
      </c>
    </row>
    <row r="61" ht="15.75" customHeight="1">
      <c r="A61" s="26"/>
      <c r="B61" s="27"/>
      <c r="C61" s="27"/>
      <c r="D61" s="27"/>
      <c r="E61" s="27"/>
      <c r="F61" s="27"/>
      <c r="G61" s="27"/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  <c r="L61" s="29" t="str">
        <f t="shared" si="5"/>
        <v/>
      </c>
      <c r="M61" s="29" t="str">
        <f t="shared" si="6"/>
        <v/>
      </c>
      <c r="N61" s="31" t="str">
        <f t="shared" si="7"/>
        <v/>
      </c>
    </row>
    <row r="62" ht="15.75" customHeight="1">
      <c r="A62" s="26"/>
      <c r="B62" s="27"/>
      <c r="C62" s="27"/>
      <c r="D62" s="27"/>
      <c r="E62" s="27"/>
      <c r="F62" s="27"/>
      <c r="G62" s="27"/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  <c r="L62" s="29" t="str">
        <f t="shared" si="5"/>
        <v/>
      </c>
      <c r="M62" s="29" t="str">
        <f t="shared" si="6"/>
        <v/>
      </c>
      <c r="N62" s="31" t="str">
        <f t="shared" si="7"/>
        <v/>
      </c>
    </row>
    <row r="63" ht="15.75" customHeight="1">
      <c r="A63" s="26"/>
      <c r="B63" s="27"/>
      <c r="C63" s="27"/>
      <c r="D63" s="27"/>
      <c r="E63" s="27"/>
      <c r="F63" s="27"/>
      <c r="G63" s="27"/>
      <c r="H63" s="29" t="str">
        <f t="shared" si="1"/>
        <v/>
      </c>
      <c r="I63" s="29" t="str">
        <f t="shared" si="2"/>
        <v/>
      </c>
      <c r="J63" s="29" t="str">
        <f t="shared" si="3"/>
        <v/>
      </c>
      <c r="K63" s="29" t="str">
        <f t="shared" si="4"/>
        <v/>
      </c>
      <c r="L63" s="29" t="str">
        <f t="shared" si="5"/>
        <v/>
      </c>
      <c r="M63" s="29" t="str">
        <f t="shared" si="6"/>
        <v/>
      </c>
      <c r="N63" s="31" t="str">
        <f t="shared" si="7"/>
        <v/>
      </c>
    </row>
    <row r="64" ht="15.75" customHeight="1">
      <c r="A64" s="26"/>
      <c r="B64" s="27"/>
      <c r="C64" s="27"/>
      <c r="D64" s="27"/>
      <c r="E64" s="27"/>
      <c r="F64" s="27"/>
      <c r="G64" s="27"/>
      <c r="H64" s="29" t="str">
        <f t="shared" si="1"/>
        <v/>
      </c>
      <c r="I64" s="29" t="str">
        <f t="shared" si="2"/>
        <v/>
      </c>
      <c r="J64" s="29" t="str">
        <f t="shared" si="3"/>
        <v/>
      </c>
      <c r="K64" s="29" t="str">
        <f t="shared" si="4"/>
        <v/>
      </c>
      <c r="L64" s="29" t="str">
        <f t="shared" si="5"/>
        <v/>
      </c>
      <c r="M64" s="29" t="str">
        <f t="shared" si="6"/>
        <v/>
      </c>
      <c r="N64" s="31" t="str">
        <f t="shared" si="7"/>
        <v/>
      </c>
    </row>
    <row r="65" ht="15.75" customHeight="1">
      <c r="A65" s="33" t="s">
        <v>159</v>
      </c>
      <c r="B65" s="35">
        <f t="shared" ref="B65:E65" si="8">SUM(B50:B64)</f>
        <v>120000</v>
      </c>
      <c r="C65" s="35">
        <f t="shared" si="8"/>
        <v>0</v>
      </c>
      <c r="D65" s="35">
        <f t="shared" si="8"/>
        <v>20</v>
      </c>
      <c r="E65" s="35">
        <f t="shared" si="8"/>
        <v>260</v>
      </c>
      <c r="F65" s="36"/>
      <c r="G65" s="36"/>
      <c r="H65" s="37">
        <f t="shared" ref="H65:N65" si="9">SUM(H50:H64)</f>
        <v>4</v>
      </c>
      <c r="I65" s="37">
        <f t="shared" si="9"/>
        <v>24</v>
      </c>
      <c r="J65" s="37">
        <f t="shared" si="9"/>
        <v>0</v>
      </c>
      <c r="K65" s="37">
        <f t="shared" si="9"/>
        <v>5.5</v>
      </c>
      <c r="L65" s="37">
        <f t="shared" si="9"/>
        <v>5.025</v>
      </c>
      <c r="M65" s="37">
        <f t="shared" si="9"/>
        <v>39.05833333</v>
      </c>
      <c r="N65" s="38">
        <f t="shared" si="9"/>
        <v>10077.05</v>
      </c>
    </row>
    <row r="66" ht="15.75" customHeight="1">
      <c r="A66" s="44" t="s">
        <v>560</v>
      </c>
      <c r="B66" s="45">
        <f>COUNTIF($A50:$A64,"&lt;&gt;")</f>
        <v>1</v>
      </c>
    </row>
    <row r="67" ht="18.0" customHeight="1">
      <c r="A67" s="6" t="s">
        <v>170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</row>
    <row r="68" ht="15.0" customHeight="1">
      <c r="A68" s="39" t="s">
        <v>548</v>
      </c>
      <c r="B68" s="46" t="str">
        <f>IF($B$65=0,"— enter migration scopes above —",IF($B$65&lt;25000,"Low",IF($B$65&lt;=150000,"Mid","High")))</f>
        <v>Mid</v>
      </c>
      <c r="C68" s="47" t="s">
        <v>562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</row>
    <row r="69" ht="15.75" customHeight="1">
      <c r="A69" s="39" t="s">
        <v>558</v>
      </c>
      <c r="B69" s="48">
        <f>$M$65</f>
        <v>39.05833333</v>
      </c>
      <c r="C69" s="49">
        <f>$N$65</f>
        <v>10077.05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ht="15.75" customHeight="1">
      <c r="A70" s="39" t="s">
        <v>559</v>
      </c>
      <c r="B70" s="40">
        <f>IF($B$69=0,0,$B$69*'Global Assumptions'!$B$7)</f>
        <v>13.67041667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ht="15.75" customHeight="1">
      <c r="A71" s="39" t="s">
        <v>176</v>
      </c>
      <c r="B71" s="27" t="s">
        <v>177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ht="15.75" customHeight="1">
      <c r="A72" s="39" t="s">
        <v>178</v>
      </c>
      <c r="B72" s="40">
        <f>($B$69+$B$70)*IF($B$71="5-7 weeks",'Global Assumptions'!$B$11,IF($B$71="3-4 weeks",'Global Assumptions'!$B$12,IF($B$71="&lt;3 weeks",'Global Assumptions'!$B$13,'Global Assumptions'!$B$10)))</f>
        <v>52.72875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ht="15.75" customHeight="1">
      <c r="A73" s="39" t="s">
        <v>561</v>
      </c>
      <c r="B73" s="42">
        <f>$B$72*$B$13</f>
        <v>13604.0175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ht="15.75" customHeight="1"/>
    <row r="75" ht="19.5" customHeight="1">
      <c r="A75" s="43" t="s">
        <v>565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N1"/>
    <mergeCell ref="A2:N2"/>
    <mergeCell ref="A4:N4"/>
    <mergeCell ref="A5:N5"/>
    <mergeCell ref="A6:N6"/>
    <mergeCell ref="A7:N7"/>
    <mergeCell ref="A8:N8"/>
    <mergeCell ref="A9:N9"/>
    <mergeCell ref="A11:N11"/>
    <mergeCell ref="C12:N12"/>
    <mergeCell ref="C13:N13"/>
    <mergeCell ref="C16:N16"/>
    <mergeCell ref="C19:N19"/>
    <mergeCell ref="C20:N20"/>
    <mergeCell ref="C21:N21"/>
    <mergeCell ref="C24:N24"/>
    <mergeCell ref="C27:N27"/>
    <mergeCell ref="C30:N30"/>
    <mergeCell ref="C31:N31"/>
    <mergeCell ref="C32:N32"/>
    <mergeCell ref="C33:N33"/>
    <mergeCell ref="A48:N48"/>
    <mergeCell ref="A67:N67"/>
    <mergeCell ref="C68:N68"/>
    <mergeCell ref="A75:N75"/>
    <mergeCell ref="C36:N36"/>
    <mergeCell ref="C37:N37"/>
    <mergeCell ref="C38:N38"/>
    <mergeCell ref="C41:N41"/>
    <mergeCell ref="C42:N42"/>
    <mergeCell ref="C45:N45"/>
    <mergeCell ref="A47:N47"/>
  </mergeCells>
  <dataValidations>
    <dataValidation type="list" allowBlank="1" sqref="B71">
      <formula1>"Standard (7+ weeks),5-7 weeks,3-4 weeks,&lt;3 weeks"</formula1>
    </dataValidation>
    <dataValidation type="list" allowBlank="1" sqref="F50:F64">
      <formula1>"CSV export,API pull,CRM (Salesforce / other)"</formula1>
    </dataValidation>
    <dataValidation type="list" allowBlank="1" sqref="G50:G64">
      <formula1>"Custom developer,Migration tool (e.g. Relokia)"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9.0"/>
    <col customWidth="1" min="3" max="3" width="10.0"/>
    <col customWidth="1" min="4" max="4" width="12.0"/>
    <col customWidth="1" min="5" max="5" width="11.0"/>
    <col customWidth="1" min="6" max="7" width="22.0"/>
    <col customWidth="1" min="8" max="12" width="9.0"/>
    <col customWidth="1" min="13" max="13" width="10.0"/>
    <col customWidth="1" min="14" max="14" width="12.0"/>
    <col customWidth="1" min="15" max="26" width="8.71"/>
  </cols>
  <sheetData>
    <row r="1" ht="27.75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45.75" customHeight="1">
      <c r="A2" s="4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8.0" customHeight="1">
      <c r="A5" s="14" t="s">
        <v>438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18.0" customHeight="1">
      <c r="A6" s="14" t="s">
        <v>445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18.0" customHeight="1">
      <c r="A7" s="9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ht="6.0" customHeight="1"/>
    <row r="9" ht="19.5" customHeight="1">
      <c r="A9" s="6" t="s">
        <v>361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>
      <c r="A10" s="5" t="s">
        <v>19</v>
      </c>
      <c r="B10" s="5" t="s">
        <v>20</v>
      </c>
      <c r="C10" s="11" t="s">
        <v>21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ht="30.0" customHeight="1">
      <c r="A11" s="15" t="s">
        <v>24</v>
      </c>
      <c r="B11" s="16">
        <f>'Global Assumptions'!$B$6</f>
        <v>258</v>
      </c>
      <c r="C11" s="17" t="s">
        <v>41</v>
      </c>
    </row>
    <row r="12" ht="4.5" customHeight="1"/>
    <row r="13" ht="24.0" customHeight="1">
      <c r="A13" s="20" t="s">
        <v>464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ht="30.0" customHeight="1">
      <c r="A14" s="15" t="s">
        <v>477</v>
      </c>
      <c r="B14" s="16">
        <v>10.0</v>
      </c>
      <c r="C14" s="17" t="s">
        <v>479</v>
      </c>
    </row>
    <row r="15" ht="4.5" customHeight="1"/>
    <row r="16" ht="24.0" customHeight="1">
      <c r="A16" s="20" t="s">
        <v>362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ht="30.0" customHeight="1">
      <c r="A17" s="15" t="s">
        <v>480</v>
      </c>
      <c r="B17" s="16">
        <v>9.0</v>
      </c>
      <c r="C17" s="17" t="s">
        <v>481</v>
      </c>
    </row>
    <row r="18" ht="30.0" customHeight="1">
      <c r="A18" s="15" t="s">
        <v>483</v>
      </c>
      <c r="B18" s="16">
        <v>0.5</v>
      </c>
      <c r="C18" s="17" t="s">
        <v>484</v>
      </c>
    </row>
    <row r="19" ht="30.0" customHeight="1">
      <c r="A19" s="15" t="s">
        <v>486</v>
      </c>
      <c r="B19" s="16">
        <v>0.1</v>
      </c>
      <c r="C19" s="17" t="s">
        <v>487</v>
      </c>
    </row>
    <row r="20" ht="30.0" customHeight="1">
      <c r="A20" s="15" t="s">
        <v>488</v>
      </c>
      <c r="B20" s="16">
        <v>6.0</v>
      </c>
      <c r="C20" s="17" t="s">
        <v>489</v>
      </c>
    </row>
    <row r="21" ht="4.5" customHeight="1"/>
    <row r="22" ht="24.0" customHeight="1">
      <c r="A22" s="20" t="s">
        <v>369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ht="30.0" customHeight="1">
      <c r="A23" s="15" t="s">
        <v>490</v>
      </c>
      <c r="B23" s="16">
        <v>6.0</v>
      </c>
      <c r="C23" s="17" t="s">
        <v>491</v>
      </c>
    </row>
    <row r="24" ht="30.0" customHeight="1">
      <c r="A24" s="15" t="s">
        <v>492</v>
      </c>
      <c r="B24" s="16">
        <v>0.66</v>
      </c>
      <c r="C24" s="17" t="s">
        <v>493</v>
      </c>
    </row>
    <row r="25" ht="30.0" customHeight="1">
      <c r="A25" s="15" t="s">
        <v>494</v>
      </c>
      <c r="B25" s="16">
        <v>0.15</v>
      </c>
      <c r="C25" s="17" t="s">
        <v>493</v>
      </c>
    </row>
    <row r="26" ht="30.0" customHeight="1">
      <c r="A26" s="15" t="s">
        <v>495</v>
      </c>
      <c r="B26" s="16">
        <v>8.0</v>
      </c>
      <c r="C26" s="17" t="s">
        <v>496</v>
      </c>
    </row>
    <row r="27" ht="4.5" customHeight="1"/>
    <row r="28" ht="24.0" customHeight="1">
      <c r="A28" s="20" t="s">
        <v>497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ht="30.0" customHeight="1">
      <c r="A29" s="15" t="s">
        <v>498</v>
      </c>
      <c r="B29" s="16">
        <v>1.3</v>
      </c>
      <c r="C29" s="17" t="s">
        <v>499</v>
      </c>
    </row>
    <row r="30" ht="4.5" customHeight="1"/>
    <row r="31" ht="24.0" customHeight="1">
      <c r="A31" s="20" t="s">
        <v>500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ht="30.0" customHeight="1">
      <c r="A32" s="15" t="s">
        <v>501</v>
      </c>
      <c r="B32" s="16">
        <v>0.75</v>
      </c>
      <c r="C32" s="17" t="s">
        <v>502</v>
      </c>
    </row>
    <row r="33" ht="30.0" customHeight="1">
      <c r="A33" s="15" t="s">
        <v>503</v>
      </c>
      <c r="B33" s="16">
        <v>1.0</v>
      </c>
      <c r="C33" s="17" t="s">
        <v>504</v>
      </c>
    </row>
    <row r="34" ht="30.0" customHeight="1">
      <c r="A34" s="15" t="s">
        <v>505</v>
      </c>
      <c r="B34" s="16">
        <v>1.0</v>
      </c>
      <c r="C34" s="17" t="s">
        <v>506</v>
      </c>
    </row>
    <row r="35" ht="30.0" customHeight="1">
      <c r="A35" s="15" t="s">
        <v>507</v>
      </c>
      <c r="B35" s="16">
        <v>1.3</v>
      </c>
      <c r="C35" s="17" t="s">
        <v>508</v>
      </c>
    </row>
    <row r="36" ht="4.5" customHeight="1"/>
    <row r="37" ht="24.0" customHeight="1">
      <c r="A37" s="20" t="s">
        <v>509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ht="30.0" customHeight="1">
      <c r="A38" s="15" t="s">
        <v>510</v>
      </c>
      <c r="B38" s="16">
        <v>7.0</v>
      </c>
      <c r="C38" s="17" t="s">
        <v>511</v>
      </c>
    </row>
    <row r="39" ht="30.0" customHeight="1">
      <c r="A39" s="15" t="s">
        <v>512</v>
      </c>
      <c r="B39" s="16">
        <v>0.2</v>
      </c>
      <c r="C39" s="17" t="s">
        <v>493</v>
      </c>
    </row>
    <row r="40" ht="30.0" customHeight="1">
      <c r="A40" s="15" t="s">
        <v>513</v>
      </c>
      <c r="B40" s="16">
        <v>2.0</v>
      </c>
      <c r="C40" s="17" t="s">
        <v>493</v>
      </c>
    </row>
    <row r="41" ht="4.5" customHeight="1"/>
    <row r="42" ht="24.0" customHeight="1">
      <c r="A42" s="20" t="s">
        <v>514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ht="30.0" customHeight="1">
      <c r="A43" s="15" t="s">
        <v>515</v>
      </c>
      <c r="B43" s="16">
        <v>5.0</v>
      </c>
      <c r="C43" s="17" t="s">
        <v>516</v>
      </c>
    </row>
    <row r="44" ht="15.75" customHeight="1"/>
    <row r="45" ht="19.5" customHeight="1">
      <c r="A45" s="6" t="s">
        <v>517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</row>
    <row r="46" ht="15.75" customHeight="1">
      <c r="A46" s="24" t="s">
        <v>142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</row>
    <row r="47" ht="33.75" customHeight="1">
      <c r="A47" s="25" t="s">
        <v>518</v>
      </c>
      <c r="B47" s="25" t="s">
        <v>519</v>
      </c>
      <c r="C47" s="25" t="s">
        <v>520</v>
      </c>
      <c r="D47" s="25" t="s">
        <v>521</v>
      </c>
      <c r="E47" s="25" t="s">
        <v>522</v>
      </c>
      <c r="F47" s="25" t="s">
        <v>523</v>
      </c>
      <c r="G47" s="25"/>
      <c r="H47" s="25" t="s">
        <v>200</v>
      </c>
      <c r="I47" s="25" t="s">
        <v>201</v>
      </c>
      <c r="J47" s="25" t="s">
        <v>476</v>
      </c>
      <c r="K47" s="25" t="s">
        <v>229</v>
      </c>
      <c r="L47" s="25"/>
      <c r="M47" s="25" t="s">
        <v>116</v>
      </c>
      <c r="N47" s="25" t="s">
        <v>117</v>
      </c>
    </row>
    <row r="48" ht="15.75" customHeight="1">
      <c r="A48" s="26" t="s">
        <v>524</v>
      </c>
      <c r="B48" s="27">
        <v>20.0</v>
      </c>
      <c r="C48" s="27">
        <v>30.0</v>
      </c>
      <c r="D48" s="27" t="s">
        <v>245</v>
      </c>
      <c r="E48" s="27" t="s">
        <v>245</v>
      </c>
      <c r="F48" s="27" t="s">
        <v>525</v>
      </c>
      <c r="G48" s="30"/>
      <c r="H48" s="29">
        <f t="shared" ref="H48:H62" si="1">IF($A48="","",($B$17+$B48*$B$18+$C48*$B$19+IF($D48="Y",$B$20,0))*IF($E48="Y",$B$29,1)*(IF($F48="Read-only sidebar app (display only)",$B$32,IF($F48="Sidebar app with write-back actions",$B$33,IF($F48="Combined sidebar UI + backend integration",$B$35,$B$34)))))</f>
        <v>16.5</v>
      </c>
      <c r="I48" s="29">
        <f t="shared" ref="I48:I62" si="2">IF($A48="","",($B$23+$B48*$B$24+$C48*$B$25+IF($D48="Y",$B$26,0))*IF($E48="Y",$B$29,1)*(IF($F48="Read-only sidebar app (display only)",$B$32,IF($F48="Sidebar app with write-back actions",$B$33,IF($F48="Combined sidebar UI + backend integration",$B$35,$B$34)))))</f>
        <v>17.775</v>
      </c>
      <c r="J48" s="29">
        <f t="shared" ref="J48:J62" si="3">IF($A48="","",($B$38+$B48*$B$39+IF($D48="Y",$B$40,0))*IF($E48="Y",$B$29,1))</f>
        <v>11</v>
      </c>
      <c r="K48" s="29">
        <f t="shared" ref="K48:K62" si="4">IF($A48="","",$B$43)</f>
        <v>5</v>
      </c>
      <c r="L48" s="30"/>
      <c r="M48" s="29">
        <f t="shared" ref="M48:M62" si="5">IF($A48="","",$H48+$I48+$J48+$K48+$B$14/15)</f>
        <v>50.94166667</v>
      </c>
      <c r="N48" s="31">
        <f t="shared" ref="N48:N62" si="6">IF($A48="","",$M48*$B$11)</f>
        <v>13142.95</v>
      </c>
    </row>
    <row r="49" ht="15.75" customHeight="1">
      <c r="A49" s="26"/>
      <c r="B49" s="27"/>
      <c r="C49" s="27"/>
      <c r="D49" s="27"/>
      <c r="E49" s="27"/>
      <c r="F49" s="27"/>
      <c r="G49" s="30"/>
      <c r="H49" s="29" t="str">
        <f t="shared" si="1"/>
        <v/>
      </c>
      <c r="I49" s="29" t="str">
        <f t="shared" si="2"/>
        <v/>
      </c>
      <c r="J49" s="29" t="str">
        <f t="shared" si="3"/>
        <v/>
      </c>
      <c r="K49" s="29" t="str">
        <f t="shared" si="4"/>
        <v/>
      </c>
      <c r="L49" s="30"/>
      <c r="M49" s="29" t="str">
        <f t="shared" si="5"/>
        <v/>
      </c>
      <c r="N49" s="31" t="str">
        <f t="shared" si="6"/>
        <v/>
      </c>
    </row>
    <row r="50" ht="15.75" customHeight="1">
      <c r="A50" s="26"/>
      <c r="B50" s="27"/>
      <c r="C50" s="27"/>
      <c r="D50" s="27"/>
      <c r="E50" s="27"/>
      <c r="F50" s="27"/>
      <c r="G50" s="30"/>
      <c r="H50" s="29" t="str">
        <f t="shared" si="1"/>
        <v/>
      </c>
      <c r="I50" s="29" t="str">
        <f t="shared" si="2"/>
        <v/>
      </c>
      <c r="J50" s="29" t="str">
        <f t="shared" si="3"/>
        <v/>
      </c>
      <c r="K50" s="29" t="str">
        <f t="shared" si="4"/>
        <v/>
      </c>
      <c r="L50" s="30"/>
      <c r="M50" s="29" t="str">
        <f t="shared" si="5"/>
        <v/>
      </c>
      <c r="N50" s="31" t="str">
        <f t="shared" si="6"/>
        <v/>
      </c>
    </row>
    <row r="51" ht="15.75" customHeight="1">
      <c r="A51" s="26"/>
      <c r="B51" s="27"/>
      <c r="C51" s="27"/>
      <c r="D51" s="27"/>
      <c r="E51" s="27"/>
      <c r="F51" s="27"/>
      <c r="G51" s="30"/>
      <c r="H51" s="29" t="str">
        <f t="shared" si="1"/>
        <v/>
      </c>
      <c r="I51" s="29" t="str">
        <f t="shared" si="2"/>
        <v/>
      </c>
      <c r="J51" s="29" t="str">
        <f t="shared" si="3"/>
        <v/>
      </c>
      <c r="K51" s="29" t="str">
        <f t="shared" si="4"/>
        <v/>
      </c>
      <c r="L51" s="30"/>
      <c r="M51" s="29" t="str">
        <f t="shared" si="5"/>
        <v/>
      </c>
      <c r="N51" s="31" t="str">
        <f t="shared" si="6"/>
        <v/>
      </c>
    </row>
    <row r="52" ht="15.75" customHeight="1">
      <c r="A52" s="26"/>
      <c r="B52" s="27"/>
      <c r="C52" s="27"/>
      <c r="D52" s="27"/>
      <c r="E52" s="27"/>
      <c r="F52" s="27"/>
      <c r="G52" s="30"/>
      <c r="H52" s="29" t="str">
        <f t="shared" si="1"/>
        <v/>
      </c>
      <c r="I52" s="29" t="str">
        <f t="shared" si="2"/>
        <v/>
      </c>
      <c r="J52" s="29" t="str">
        <f t="shared" si="3"/>
        <v/>
      </c>
      <c r="K52" s="29" t="str">
        <f t="shared" si="4"/>
        <v/>
      </c>
      <c r="L52" s="30"/>
      <c r="M52" s="29" t="str">
        <f t="shared" si="5"/>
        <v/>
      </c>
      <c r="N52" s="31" t="str">
        <f t="shared" si="6"/>
        <v/>
      </c>
    </row>
    <row r="53" ht="15.75" customHeight="1">
      <c r="A53" s="26"/>
      <c r="B53" s="27"/>
      <c r="C53" s="27"/>
      <c r="D53" s="27"/>
      <c r="E53" s="27"/>
      <c r="F53" s="27"/>
      <c r="G53" s="30"/>
      <c r="H53" s="29" t="str">
        <f t="shared" si="1"/>
        <v/>
      </c>
      <c r="I53" s="29" t="str">
        <f t="shared" si="2"/>
        <v/>
      </c>
      <c r="J53" s="29" t="str">
        <f t="shared" si="3"/>
        <v/>
      </c>
      <c r="K53" s="29" t="str">
        <f t="shared" si="4"/>
        <v/>
      </c>
      <c r="L53" s="30"/>
      <c r="M53" s="29" t="str">
        <f t="shared" si="5"/>
        <v/>
      </c>
      <c r="N53" s="31" t="str">
        <f t="shared" si="6"/>
        <v/>
      </c>
    </row>
    <row r="54" ht="15.75" customHeight="1">
      <c r="A54" s="26"/>
      <c r="B54" s="27"/>
      <c r="C54" s="27"/>
      <c r="D54" s="27"/>
      <c r="E54" s="27"/>
      <c r="F54" s="27"/>
      <c r="G54" s="30"/>
      <c r="H54" s="29" t="str">
        <f t="shared" si="1"/>
        <v/>
      </c>
      <c r="I54" s="29" t="str">
        <f t="shared" si="2"/>
        <v/>
      </c>
      <c r="J54" s="29" t="str">
        <f t="shared" si="3"/>
        <v/>
      </c>
      <c r="K54" s="29" t="str">
        <f t="shared" si="4"/>
        <v/>
      </c>
      <c r="L54" s="30"/>
      <c r="M54" s="29" t="str">
        <f t="shared" si="5"/>
        <v/>
      </c>
      <c r="N54" s="31" t="str">
        <f t="shared" si="6"/>
        <v/>
      </c>
    </row>
    <row r="55" ht="15.75" customHeight="1">
      <c r="A55" s="26"/>
      <c r="B55" s="27"/>
      <c r="C55" s="27"/>
      <c r="D55" s="27"/>
      <c r="E55" s="27"/>
      <c r="F55" s="27"/>
      <c r="G55" s="30"/>
      <c r="H55" s="29" t="str">
        <f t="shared" si="1"/>
        <v/>
      </c>
      <c r="I55" s="29" t="str">
        <f t="shared" si="2"/>
        <v/>
      </c>
      <c r="J55" s="29" t="str">
        <f t="shared" si="3"/>
        <v/>
      </c>
      <c r="K55" s="29" t="str">
        <f t="shared" si="4"/>
        <v/>
      </c>
      <c r="L55" s="30"/>
      <c r="M55" s="29" t="str">
        <f t="shared" si="5"/>
        <v/>
      </c>
      <c r="N55" s="31" t="str">
        <f t="shared" si="6"/>
        <v/>
      </c>
    </row>
    <row r="56" ht="15.75" customHeight="1">
      <c r="A56" s="26"/>
      <c r="B56" s="27"/>
      <c r="C56" s="27"/>
      <c r="D56" s="27"/>
      <c r="E56" s="27"/>
      <c r="F56" s="27"/>
      <c r="G56" s="30"/>
      <c r="H56" s="29" t="str">
        <f t="shared" si="1"/>
        <v/>
      </c>
      <c r="I56" s="29" t="str">
        <f t="shared" si="2"/>
        <v/>
      </c>
      <c r="J56" s="29" t="str">
        <f t="shared" si="3"/>
        <v/>
      </c>
      <c r="K56" s="29" t="str">
        <f t="shared" si="4"/>
        <v/>
      </c>
      <c r="L56" s="30"/>
      <c r="M56" s="29" t="str">
        <f t="shared" si="5"/>
        <v/>
      </c>
      <c r="N56" s="31" t="str">
        <f t="shared" si="6"/>
        <v/>
      </c>
    </row>
    <row r="57" ht="15.75" customHeight="1">
      <c r="A57" s="26"/>
      <c r="B57" s="27"/>
      <c r="C57" s="27"/>
      <c r="D57" s="27"/>
      <c r="E57" s="27"/>
      <c r="F57" s="27"/>
      <c r="G57" s="30"/>
      <c r="H57" s="29" t="str">
        <f t="shared" si="1"/>
        <v/>
      </c>
      <c r="I57" s="29" t="str">
        <f t="shared" si="2"/>
        <v/>
      </c>
      <c r="J57" s="29" t="str">
        <f t="shared" si="3"/>
        <v/>
      </c>
      <c r="K57" s="29" t="str">
        <f t="shared" si="4"/>
        <v/>
      </c>
      <c r="L57" s="30"/>
      <c r="M57" s="29" t="str">
        <f t="shared" si="5"/>
        <v/>
      </c>
      <c r="N57" s="31" t="str">
        <f t="shared" si="6"/>
        <v/>
      </c>
    </row>
    <row r="58" ht="15.75" customHeight="1">
      <c r="A58" s="26"/>
      <c r="B58" s="27"/>
      <c r="C58" s="27"/>
      <c r="D58" s="27"/>
      <c r="E58" s="27"/>
      <c r="F58" s="27"/>
      <c r="G58" s="30"/>
      <c r="H58" s="29" t="str">
        <f t="shared" si="1"/>
        <v/>
      </c>
      <c r="I58" s="29" t="str">
        <f t="shared" si="2"/>
        <v/>
      </c>
      <c r="J58" s="29" t="str">
        <f t="shared" si="3"/>
        <v/>
      </c>
      <c r="K58" s="29" t="str">
        <f t="shared" si="4"/>
        <v/>
      </c>
      <c r="L58" s="30"/>
      <c r="M58" s="29" t="str">
        <f t="shared" si="5"/>
        <v/>
      </c>
      <c r="N58" s="31" t="str">
        <f t="shared" si="6"/>
        <v/>
      </c>
    </row>
    <row r="59" ht="15.75" customHeight="1">
      <c r="A59" s="26"/>
      <c r="B59" s="27"/>
      <c r="C59" s="27"/>
      <c r="D59" s="27"/>
      <c r="E59" s="27"/>
      <c r="F59" s="27"/>
      <c r="G59" s="30"/>
      <c r="H59" s="29" t="str">
        <f t="shared" si="1"/>
        <v/>
      </c>
      <c r="I59" s="29" t="str">
        <f t="shared" si="2"/>
        <v/>
      </c>
      <c r="J59" s="29" t="str">
        <f t="shared" si="3"/>
        <v/>
      </c>
      <c r="K59" s="29" t="str">
        <f t="shared" si="4"/>
        <v/>
      </c>
      <c r="L59" s="30"/>
      <c r="M59" s="29" t="str">
        <f t="shared" si="5"/>
        <v/>
      </c>
      <c r="N59" s="31" t="str">
        <f t="shared" si="6"/>
        <v/>
      </c>
    </row>
    <row r="60" ht="15.75" customHeight="1">
      <c r="A60" s="26"/>
      <c r="B60" s="27"/>
      <c r="C60" s="27"/>
      <c r="D60" s="27"/>
      <c r="E60" s="27"/>
      <c r="F60" s="27"/>
      <c r="G60" s="30"/>
      <c r="H60" s="29" t="str">
        <f t="shared" si="1"/>
        <v/>
      </c>
      <c r="I60" s="29" t="str">
        <f t="shared" si="2"/>
        <v/>
      </c>
      <c r="J60" s="29" t="str">
        <f t="shared" si="3"/>
        <v/>
      </c>
      <c r="K60" s="29" t="str">
        <f t="shared" si="4"/>
        <v/>
      </c>
      <c r="L60" s="30"/>
      <c r="M60" s="29" t="str">
        <f t="shared" si="5"/>
        <v/>
      </c>
      <c r="N60" s="31" t="str">
        <f t="shared" si="6"/>
        <v/>
      </c>
    </row>
    <row r="61" ht="15.75" customHeight="1">
      <c r="A61" s="26"/>
      <c r="B61" s="27"/>
      <c r="C61" s="27"/>
      <c r="D61" s="27"/>
      <c r="E61" s="27"/>
      <c r="F61" s="27"/>
      <c r="G61" s="30"/>
      <c r="H61" s="29" t="str">
        <f t="shared" si="1"/>
        <v/>
      </c>
      <c r="I61" s="29" t="str">
        <f t="shared" si="2"/>
        <v/>
      </c>
      <c r="J61" s="29" t="str">
        <f t="shared" si="3"/>
        <v/>
      </c>
      <c r="K61" s="29" t="str">
        <f t="shared" si="4"/>
        <v/>
      </c>
      <c r="L61" s="30"/>
      <c r="M61" s="29" t="str">
        <f t="shared" si="5"/>
        <v/>
      </c>
      <c r="N61" s="31" t="str">
        <f t="shared" si="6"/>
        <v/>
      </c>
    </row>
    <row r="62" ht="15.75" customHeight="1">
      <c r="A62" s="26"/>
      <c r="B62" s="27"/>
      <c r="C62" s="27"/>
      <c r="D62" s="27"/>
      <c r="E62" s="27"/>
      <c r="F62" s="27"/>
      <c r="G62" s="30"/>
      <c r="H62" s="29" t="str">
        <f t="shared" si="1"/>
        <v/>
      </c>
      <c r="I62" s="29" t="str">
        <f t="shared" si="2"/>
        <v/>
      </c>
      <c r="J62" s="29" t="str">
        <f t="shared" si="3"/>
        <v/>
      </c>
      <c r="K62" s="29" t="str">
        <f t="shared" si="4"/>
        <v/>
      </c>
      <c r="L62" s="30"/>
      <c r="M62" s="29" t="str">
        <f t="shared" si="5"/>
        <v/>
      </c>
      <c r="N62" s="31" t="str">
        <f t="shared" si="6"/>
        <v/>
      </c>
    </row>
    <row r="63" ht="15.75" customHeight="1">
      <c r="A63" s="33" t="s">
        <v>159</v>
      </c>
      <c r="B63" s="35">
        <f t="shared" ref="B63:C63" si="7">SUM(B48:B62)</f>
        <v>20</v>
      </c>
      <c r="C63" s="35">
        <f t="shared" si="7"/>
        <v>30</v>
      </c>
      <c r="D63" s="36"/>
      <c r="E63" s="36"/>
      <c r="F63" s="36"/>
      <c r="G63" s="36"/>
      <c r="H63" s="37">
        <f t="shared" ref="H63:K63" si="8">SUM(H48:H62)</f>
        <v>16.5</v>
      </c>
      <c r="I63" s="37">
        <f t="shared" si="8"/>
        <v>17.775</v>
      </c>
      <c r="J63" s="37">
        <f t="shared" si="8"/>
        <v>11</v>
      </c>
      <c r="K63" s="37">
        <f t="shared" si="8"/>
        <v>5</v>
      </c>
      <c r="L63" s="36"/>
      <c r="M63" s="37">
        <f t="shared" ref="M63:N63" si="9">SUM(M48:M62)</f>
        <v>50.94166667</v>
      </c>
      <c r="N63" s="38">
        <f t="shared" si="9"/>
        <v>13142.95</v>
      </c>
    </row>
    <row r="64" ht="15.75" customHeight="1">
      <c r="A64" s="44" t="s">
        <v>564</v>
      </c>
      <c r="B64" s="45">
        <f>COUNTIF($A48:$A62,"&lt;&gt;")</f>
        <v>1</v>
      </c>
    </row>
    <row r="65" ht="18.0" customHeight="1">
      <c r="A65" s="6" t="s">
        <v>170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</row>
    <row r="66" ht="15.0" customHeight="1">
      <c r="A66" s="39" t="s">
        <v>548</v>
      </c>
      <c r="B66" s="46" t="str">
        <f>IF($M$63=0,"— enter apps above —",IF($M$63&lt;60,"Low",IF($M$63&lt;=120,"Mid","High")))</f>
        <v>Low</v>
      </c>
      <c r="C66" s="47" t="s">
        <v>566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</row>
    <row r="67" ht="15.75" customHeight="1">
      <c r="A67" s="39" t="s">
        <v>558</v>
      </c>
      <c r="B67" s="48">
        <f>$M$63</f>
        <v>50.94166667</v>
      </c>
      <c r="C67" s="49">
        <f>$N$63</f>
        <v>13142.95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ht="15.75" customHeight="1">
      <c r="A68" s="39" t="s">
        <v>559</v>
      </c>
      <c r="B68" s="40">
        <f>IF($B$67=0,0,$B$67*'Global Assumptions'!$B$7)</f>
        <v>17.82958333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ht="15.75" customHeight="1">
      <c r="A69" s="39" t="s">
        <v>176</v>
      </c>
      <c r="B69" s="27" t="s">
        <v>177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ht="15.75" customHeight="1">
      <c r="A70" s="39" t="s">
        <v>178</v>
      </c>
      <c r="B70" s="40">
        <f>($B$67+$B$68)*IF($B$69="5-7 weeks",'Global Assumptions'!$B$11,IF($B$69="3-4 weeks",'Global Assumptions'!$B$12,IF($B$69="&lt;3 weeks",'Global Assumptions'!$B$13,'Global Assumptions'!$B$10)))</f>
        <v>68.77125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ht="15.75" customHeight="1">
      <c r="A71" s="39" t="s">
        <v>561</v>
      </c>
      <c r="B71" s="42">
        <f>$B$70*$B$11</f>
        <v>17742.9825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ht="15.75" customHeight="1"/>
    <row r="73" ht="19.5" customHeight="1">
      <c r="A73" s="43" t="s">
        <v>568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N1"/>
    <mergeCell ref="A2:N2"/>
    <mergeCell ref="A4:N4"/>
    <mergeCell ref="A5:N5"/>
    <mergeCell ref="A6:N6"/>
    <mergeCell ref="A7:N7"/>
    <mergeCell ref="A9:N9"/>
    <mergeCell ref="C10:N10"/>
    <mergeCell ref="C11:N11"/>
    <mergeCell ref="C14:N14"/>
    <mergeCell ref="C17:N17"/>
    <mergeCell ref="C18:N18"/>
    <mergeCell ref="C19:N19"/>
    <mergeCell ref="C20:N20"/>
    <mergeCell ref="C23:N23"/>
    <mergeCell ref="C24:N24"/>
    <mergeCell ref="C25:N25"/>
    <mergeCell ref="C26:N26"/>
    <mergeCell ref="C29:N29"/>
    <mergeCell ref="C32:N32"/>
    <mergeCell ref="C33:N33"/>
    <mergeCell ref="A46:N46"/>
    <mergeCell ref="A65:N65"/>
    <mergeCell ref="C66:N66"/>
    <mergeCell ref="A73:N73"/>
    <mergeCell ref="C34:N34"/>
    <mergeCell ref="C35:N35"/>
    <mergeCell ref="C38:N38"/>
    <mergeCell ref="C39:N39"/>
    <mergeCell ref="C40:N40"/>
    <mergeCell ref="C43:N43"/>
    <mergeCell ref="A45:N45"/>
  </mergeCells>
  <dataValidations>
    <dataValidation type="list" allowBlank="1" sqref="D48:E62">
      <formula1>"Y,N"</formula1>
    </dataValidation>
    <dataValidation type="list" allowBlank="1" sqref="B69">
      <formula1>"Standard (7+ weeks),5-7 weeks,3-4 weeks,&lt;3 weeks"</formula1>
    </dataValidation>
    <dataValidation type="list" allowBlank="1" sqref="F48:F62">
      <formula1>"Read-only sidebar app (display only),Sidebar app with write-back actions,Backend integration (e.g. Envoy Connect,no UI),Combined sidebar UI + backend integration"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5" width="14.0"/>
    <col customWidth="1" min="6" max="7" width="10.0"/>
    <col customWidth="1" min="8" max="8" width="12.0"/>
    <col customWidth="1" min="9" max="26" width="8.71"/>
  </cols>
  <sheetData>
    <row r="1" ht="27.75" customHeight="1">
      <c r="A1" s="1" t="s">
        <v>526</v>
      </c>
      <c r="B1" s="2"/>
      <c r="C1" s="2"/>
      <c r="D1" s="2"/>
      <c r="E1" s="2"/>
      <c r="F1" s="2"/>
      <c r="G1" s="2"/>
      <c r="H1" s="3"/>
    </row>
    <row r="2" ht="45.75" customHeight="1">
      <c r="A2" s="4" t="s">
        <v>527</v>
      </c>
      <c r="B2" s="2"/>
      <c r="C2" s="2"/>
      <c r="D2" s="2"/>
      <c r="E2" s="2"/>
      <c r="F2" s="2"/>
      <c r="G2" s="2"/>
      <c r="H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2"/>
      <c r="G4" s="2"/>
      <c r="H4" s="3"/>
    </row>
    <row r="5" ht="18.0" customHeight="1">
      <c r="A5" s="14" t="s">
        <v>528</v>
      </c>
      <c r="B5" s="2"/>
      <c r="C5" s="2"/>
      <c r="D5" s="2"/>
      <c r="E5" s="2"/>
      <c r="F5" s="2"/>
      <c r="G5" s="2"/>
      <c r="H5" s="3"/>
    </row>
    <row r="6" ht="31.5" customHeight="1">
      <c r="A6" s="14" t="s">
        <v>529</v>
      </c>
      <c r="B6" s="2"/>
      <c r="C6" s="2"/>
      <c r="D6" s="2"/>
      <c r="E6" s="2"/>
      <c r="F6" s="2"/>
      <c r="G6" s="2"/>
      <c r="H6" s="3"/>
    </row>
    <row r="7" ht="18.0" customHeight="1">
      <c r="A7" s="14" t="s">
        <v>530</v>
      </c>
      <c r="B7" s="2"/>
      <c r="C7" s="2"/>
      <c r="D7" s="2"/>
      <c r="E7" s="2"/>
      <c r="F7" s="2"/>
      <c r="G7" s="2"/>
      <c r="H7" s="3"/>
    </row>
    <row r="8" ht="18.0" customHeight="1">
      <c r="A8" s="14" t="s">
        <v>531</v>
      </c>
      <c r="B8" s="2"/>
      <c r="C8" s="2"/>
      <c r="D8" s="2"/>
      <c r="E8" s="2"/>
      <c r="F8" s="2"/>
      <c r="G8" s="2"/>
      <c r="H8" s="3"/>
    </row>
    <row r="9" ht="18.0" customHeight="1">
      <c r="A9" s="14" t="s">
        <v>532</v>
      </c>
      <c r="B9" s="2"/>
      <c r="C9" s="2"/>
      <c r="D9" s="2"/>
      <c r="E9" s="2"/>
      <c r="F9" s="2"/>
      <c r="G9" s="2"/>
      <c r="H9" s="3"/>
    </row>
    <row r="10" ht="18.0" customHeight="1">
      <c r="A10" s="9" t="s">
        <v>14</v>
      </c>
      <c r="B10" s="2"/>
      <c r="C10" s="2"/>
      <c r="D10" s="2"/>
      <c r="E10" s="2"/>
      <c r="F10" s="2"/>
      <c r="G10" s="2"/>
      <c r="H10" s="3"/>
    </row>
    <row r="11" ht="6.0" customHeight="1"/>
    <row r="12" ht="19.5" customHeight="1">
      <c r="A12" s="6" t="s">
        <v>18</v>
      </c>
      <c r="B12" s="2"/>
      <c r="C12" s="2"/>
      <c r="D12" s="2"/>
      <c r="E12" s="2"/>
      <c r="F12" s="2"/>
      <c r="G12" s="2"/>
      <c r="H12" s="3"/>
    </row>
    <row r="13">
      <c r="A13" s="5" t="s">
        <v>19</v>
      </c>
      <c r="B13" s="5" t="s">
        <v>20</v>
      </c>
      <c r="C13" s="11" t="s">
        <v>21</v>
      </c>
      <c r="D13" s="12"/>
      <c r="E13" s="12"/>
      <c r="F13" s="12"/>
      <c r="G13" s="12"/>
      <c r="H13" s="13"/>
    </row>
    <row r="14" ht="30.0" customHeight="1">
      <c r="A14" s="15" t="s">
        <v>24</v>
      </c>
      <c r="B14" s="16">
        <f>'Global Assumptions'!$B$6</f>
        <v>258</v>
      </c>
      <c r="C14" s="17" t="s">
        <v>41</v>
      </c>
    </row>
    <row r="15" ht="4.5" customHeight="1"/>
    <row r="16" ht="24.0" customHeight="1">
      <c r="A16" s="20" t="s">
        <v>533</v>
      </c>
      <c r="B16" s="21"/>
      <c r="C16" s="21"/>
      <c r="D16" s="21"/>
      <c r="E16" s="21"/>
      <c r="F16" s="21"/>
      <c r="G16" s="21"/>
      <c r="H16" s="21"/>
    </row>
    <row r="17" ht="30.0" customHeight="1">
      <c r="A17" s="15" t="s">
        <v>534</v>
      </c>
      <c r="B17" s="16">
        <v>10.0</v>
      </c>
      <c r="C17" s="17" t="s">
        <v>535</v>
      </c>
    </row>
    <row r="18" ht="4.5" customHeight="1"/>
    <row r="19" ht="24.0" customHeight="1">
      <c r="A19" s="20" t="s">
        <v>536</v>
      </c>
      <c r="B19" s="21"/>
      <c r="C19" s="21"/>
      <c r="D19" s="21"/>
      <c r="E19" s="21"/>
      <c r="F19" s="21"/>
      <c r="G19" s="21"/>
      <c r="H19" s="21"/>
    </row>
    <row r="20" ht="30.0" customHeight="1">
      <c r="A20" s="15" t="s">
        <v>537</v>
      </c>
      <c r="B20" s="16">
        <v>2.5</v>
      </c>
      <c r="C20" s="17" t="s">
        <v>535</v>
      </c>
    </row>
    <row r="21" ht="30.0" customHeight="1">
      <c r="A21" s="15" t="s">
        <v>538</v>
      </c>
      <c r="B21" s="16">
        <v>1.5</v>
      </c>
      <c r="C21" s="17" t="s">
        <v>535</v>
      </c>
    </row>
    <row r="22" ht="30.0" customHeight="1">
      <c r="A22" s="15" t="s">
        <v>539</v>
      </c>
      <c r="B22" s="16">
        <v>2.0</v>
      </c>
      <c r="C22" s="17" t="s">
        <v>535</v>
      </c>
    </row>
    <row r="23" ht="4.5" customHeight="1"/>
    <row r="24" ht="24.0" customHeight="1">
      <c r="A24" s="20" t="s">
        <v>541</v>
      </c>
      <c r="B24" s="21"/>
      <c r="C24" s="21"/>
      <c r="D24" s="21"/>
      <c r="E24" s="21"/>
      <c r="F24" s="21"/>
      <c r="G24" s="21"/>
      <c r="H24" s="21"/>
    </row>
    <row r="25" ht="30.0" customHeight="1">
      <c r="A25" s="15" t="s">
        <v>542</v>
      </c>
      <c r="B25" s="16">
        <v>2.0</v>
      </c>
      <c r="C25" s="17" t="s">
        <v>543</v>
      </c>
    </row>
    <row r="26" ht="4.5" customHeight="1"/>
    <row r="27" ht="24.0" customHeight="1">
      <c r="A27" s="20" t="s">
        <v>544</v>
      </c>
      <c r="B27" s="21"/>
      <c r="C27" s="21"/>
      <c r="D27" s="21"/>
      <c r="E27" s="21"/>
      <c r="F27" s="21"/>
      <c r="G27" s="21"/>
      <c r="H27" s="21"/>
    </row>
    <row r="28" ht="30.0" customHeight="1">
      <c r="A28" s="15" t="s">
        <v>545</v>
      </c>
      <c r="B28" s="16">
        <v>1.0</v>
      </c>
      <c r="C28" s="17" t="s">
        <v>546</v>
      </c>
    </row>
    <row r="29" ht="15.75" customHeight="1"/>
    <row r="30" ht="19.5" customHeight="1">
      <c r="A30" s="6" t="s">
        <v>547</v>
      </c>
      <c r="B30" s="2"/>
      <c r="C30" s="2"/>
      <c r="D30" s="2"/>
      <c r="E30" s="2"/>
      <c r="F30" s="2"/>
      <c r="G30" s="2"/>
      <c r="H30" s="3"/>
    </row>
    <row r="31" ht="27.75" customHeight="1">
      <c r="A31" s="24" t="s">
        <v>549</v>
      </c>
      <c r="B31" s="2"/>
      <c r="C31" s="2"/>
      <c r="D31" s="2"/>
      <c r="E31" s="2"/>
      <c r="F31" s="2"/>
      <c r="G31" s="2"/>
      <c r="H31" s="3"/>
    </row>
    <row r="32" ht="33.75" customHeight="1">
      <c r="A32" s="25" t="s">
        <v>108</v>
      </c>
      <c r="B32" s="25" t="s">
        <v>550</v>
      </c>
      <c r="C32" s="25" t="s">
        <v>551</v>
      </c>
      <c r="D32" s="25" t="s">
        <v>552</v>
      </c>
      <c r="E32" s="25" t="s">
        <v>553</v>
      </c>
      <c r="F32" s="25" t="s">
        <v>554</v>
      </c>
      <c r="G32" s="25" t="s">
        <v>555</v>
      </c>
      <c r="H32" s="25" t="s">
        <v>116</v>
      </c>
    </row>
    <row r="33" ht="15.75" customHeight="1">
      <c r="A33" s="26" t="s">
        <v>556</v>
      </c>
      <c r="B33" s="27">
        <v>1.0</v>
      </c>
      <c r="C33" s="27">
        <v>5.0</v>
      </c>
      <c r="D33" s="27">
        <v>3.0</v>
      </c>
      <c r="E33" s="27" t="s">
        <v>245</v>
      </c>
      <c r="F33" s="29">
        <f t="shared" ref="F33:F42" si="1">IF($A33="","",$B$17+MAX(0,$B33-1)*$B$20+MAX(0,$C33-5)*$B$21+MAX(0,$D33-3)*$B$22+IF($E33="Y",$B$25,0))</f>
        <v>10</v>
      </c>
      <c r="G33" s="29">
        <f t="shared" ref="G33:G42" si="2">IF($A33="","",$B$28)</f>
        <v>1</v>
      </c>
      <c r="H33" s="29">
        <f t="shared" ref="H33:H42" si="3">IF($A33="","",$F33+$G33)</f>
        <v>11</v>
      </c>
    </row>
    <row r="34" ht="15.75" customHeight="1">
      <c r="A34" s="26"/>
      <c r="B34" s="27"/>
      <c r="C34" s="27"/>
      <c r="D34" s="27"/>
      <c r="E34" s="27"/>
      <c r="F34" s="29" t="str">
        <f t="shared" si="1"/>
        <v/>
      </c>
      <c r="G34" s="29" t="str">
        <f t="shared" si="2"/>
        <v/>
      </c>
      <c r="H34" s="29" t="str">
        <f t="shared" si="3"/>
        <v/>
      </c>
    </row>
    <row r="35" ht="15.75" customHeight="1">
      <c r="A35" s="26"/>
      <c r="B35" s="27"/>
      <c r="C35" s="27"/>
      <c r="D35" s="27"/>
      <c r="E35" s="27"/>
      <c r="F35" s="29" t="str">
        <f t="shared" si="1"/>
        <v/>
      </c>
      <c r="G35" s="29" t="str">
        <f t="shared" si="2"/>
        <v/>
      </c>
      <c r="H35" s="29" t="str">
        <f t="shared" si="3"/>
        <v/>
      </c>
    </row>
    <row r="36" ht="15.75" customHeight="1">
      <c r="A36" s="26"/>
      <c r="B36" s="27"/>
      <c r="C36" s="27"/>
      <c r="D36" s="27"/>
      <c r="E36" s="27"/>
      <c r="F36" s="29" t="str">
        <f t="shared" si="1"/>
        <v/>
      </c>
      <c r="G36" s="29" t="str">
        <f t="shared" si="2"/>
        <v/>
      </c>
      <c r="H36" s="29" t="str">
        <f t="shared" si="3"/>
        <v/>
      </c>
    </row>
    <row r="37" ht="15.75" customHeight="1">
      <c r="A37" s="26"/>
      <c r="B37" s="27"/>
      <c r="C37" s="27"/>
      <c r="D37" s="27"/>
      <c r="E37" s="27"/>
      <c r="F37" s="29" t="str">
        <f t="shared" si="1"/>
        <v/>
      </c>
      <c r="G37" s="29" t="str">
        <f t="shared" si="2"/>
        <v/>
      </c>
      <c r="H37" s="29" t="str">
        <f t="shared" si="3"/>
        <v/>
      </c>
    </row>
    <row r="38" ht="15.75" customHeight="1">
      <c r="A38" s="26"/>
      <c r="B38" s="27"/>
      <c r="C38" s="27"/>
      <c r="D38" s="27"/>
      <c r="E38" s="27"/>
      <c r="F38" s="29" t="str">
        <f t="shared" si="1"/>
        <v/>
      </c>
      <c r="G38" s="29" t="str">
        <f t="shared" si="2"/>
        <v/>
      </c>
      <c r="H38" s="29" t="str">
        <f t="shared" si="3"/>
        <v/>
      </c>
    </row>
    <row r="39" ht="15.75" customHeight="1">
      <c r="A39" s="26"/>
      <c r="B39" s="27"/>
      <c r="C39" s="27"/>
      <c r="D39" s="27"/>
      <c r="E39" s="27"/>
      <c r="F39" s="29" t="str">
        <f t="shared" si="1"/>
        <v/>
      </c>
      <c r="G39" s="29" t="str">
        <f t="shared" si="2"/>
        <v/>
      </c>
      <c r="H39" s="29" t="str">
        <f t="shared" si="3"/>
        <v/>
      </c>
    </row>
    <row r="40" ht="15.75" customHeight="1">
      <c r="A40" s="26"/>
      <c r="B40" s="27"/>
      <c r="C40" s="27"/>
      <c r="D40" s="27"/>
      <c r="E40" s="27"/>
      <c r="F40" s="29" t="str">
        <f t="shared" si="1"/>
        <v/>
      </c>
      <c r="G40" s="29" t="str">
        <f t="shared" si="2"/>
        <v/>
      </c>
      <c r="H40" s="29" t="str">
        <f t="shared" si="3"/>
        <v/>
      </c>
    </row>
    <row r="41" ht="15.75" customHeight="1">
      <c r="A41" s="26"/>
      <c r="B41" s="27"/>
      <c r="C41" s="27"/>
      <c r="D41" s="27"/>
      <c r="E41" s="27"/>
      <c r="F41" s="29" t="str">
        <f t="shared" si="1"/>
        <v/>
      </c>
      <c r="G41" s="29" t="str">
        <f t="shared" si="2"/>
        <v/>
      </c>
      <c r="H41" s="29" t="str">
        <f t="shared" si="3"/>
        <v/>
      </c>
    </row>
    <row r="42" ht="15.75" customHeight="1">
      <c r="A42" s="26"/>
      <c r="B42" s="27"/>
      <c r="C42" s="27"/>
      <c r="D42" s="27"/>
      <c r="E42" s="27"/>
      <c r="F42" s="29" t="str">
        <f t="shared" si="1"/>
        <v/>
      </c>
      <c r="G42" s="29" t="str">
        <f t="shared" si="2"/>
        <v/>
      </c>
      <c r="H42" s="29" t="str">
        <f t="shared" si="3"/>
        <v/>
      </c>
    </row>
    <row r="43" ht="15.75" customHeight="1">
      <c r="A43" s="33" t="s">
        <v>159</v>
      </c>
      <c r="B43" s="36"/>
      <c r="C43" s="36"/>
      <c r="D43" s="36"/>
      <c r="E43" s="36"/>
      <c r="F43" s="37">
        <f>SUM(F33:F42)</f>
        <v>10</v>
      </c>
      <c r="G43" s="36"/>
      <c r="H43" s="37">
        <f>SUM(H33:H42)</f>
        <v>11</v>
      </c>
    </row>
    <row r="44" ht="15.75" customHeight="1"/>
    <row r="45" ht="18.0" customHeight="1">
      <c r="A45" s="6" t="s">
        <v>170</v>
      </c>
      <c r="B45" s="2"/>
      <c r="C45" s="2"/>
      <c r="D45" s="2"/>
      <c r="E45" s="2"/>
      <c r="F45" s="2"/>
      <c r="G45" s="2"/>
      <c r="H45" s="3"/>
    </row>
    <row r="46" ht="15.75" customHeight="1">
      <c r="A46" s="39" t="s">
        <v>173</v>
      </c>
      <c r="B46" s="40">
        <f>$H$43</f>
        <v>11</v>
      </c>
      <c r="C46" s="21"/>
      <c r="D46" s="21"/>
      <c r="E46" s="21"/>
      <c r="F46" s="21"/>
      <c r="G46" s="21"/>
      <c r="H46" s="21"/>
    </row>
    <row r="47" ht="15.75" customHeight="1">
      <c r="A47" s="39" t="s">
        <v>174</v>
      </c>
      <c r="B47" s="40">
        <f>IF($B$46=0,0,$B$46*'Global Assumptions'!$B$7)</f>
        <v>3.85</v>
      </c>
      <c r="C47" s="41"/>
      <c r="D47" s="2"/>
      <c r="E47" s="2"/>
      <c r="F47" s="2"/>
      <c r="G47" s="2"/>
      <c r="H47" s="3"/>
    </row>
    <row r="48" ht="15.75" customHeight="1">
      <c r="A48" s="39" t="s">
        <v>176</v>
      </c>
      <c r="B48" s="27" t="s">
        <v>177</v>
      </c>
      <c r="C48" s="21"/>
      <c r="D48" s="21"/>
      <c r="E48" s="21"/>
      <c r="F48" s="21"/>
      <c r="G48" s="21"/>
      <c r="H48" s="21"/>
    </row>
    <row r="49" ht="15.75" customHeight="1">
      <c r="A49" s="39" t="s">
        <v>178</v>
      </c>
      <c r="B49" s="40">
        <f>($B$46+$B$47)*IF($B$48="5-7 weeks",'Global Assumptions'!$B$11,IF($B$48="3-4 weeks",'Global Assumptions'!$B$12,IF($B$48="&lt;3 weeks",'Global Assumptions'!$B$13,'Global Assumptions'!$B$10)))</f>
        <v>14.85</v>
      </c>
      <c r="C49" s="21"/>
      <c r="D49" s="21"/>
      <c r="E49" s="21"/>
      <c r="F49" s="21"/>
      <c r="G49" s="21"/>
      <c r="H49" s="21"/>
    </row>
    <row r="50" ht="15.75" customHeight="1">
      <c r="A50" s="39" t="s">
        <v>180</v>
      </c>
      <c r="B50" s="42">
        <f>$B$49*'Global Assumptions'!$B$6</f>
        <v>3831.3</v>
      </c>
      <c r="C50" s="21"/>
      <c r="D50" s="21"/>
      <c r="E50" s="21"/>
      <c r="F50" s="21"/>
      <c r="G50" s="21"/>
      <c r="H50" s="21"/>
    </row>
    <row r="51" ht="15.75" customHeight="1"/>
    <row r="52" ht="30.0" customHeight="1">
      <c r="A52" s="43" t="s">
        <v>567</v>
      </c>
      <c r="B52" s="2"/>
      <c r="C52" s="2"/>
      <c r="D52" s="2"/>
      <c r="E52" s="2"/>
      <c r="F52" s="2"/>
      <c r="G52" s="2"/>
      <c r="H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2:H12"/>
    <mergeCell ref="C13:H13"/>
    <mergeCell ref="C14:H14"/>
    <mergeCell ref="C17:H17"/>
    <mergeCell ref="C20:H20"/>
    <mergeCell ref="C47:H47"/>
    <mergeCell ref="A52:H52"/>
    <mergeCell ref="C21:H21"/>
    <mergeCell ref="C22:H22"/>
    <mergeCell ref="C25:H25"/>
    <mergeCell ref="C28:H28"/>
    <mergeCell ref="A30:H30"/>
    <mergeCell ref="A31:H31"/>
    <mergeCell ref="A45:H45"/>
  </mergeCells>
  <dataValidations>
    <dataValidation type="list" allowBlank="1" sqref="E33:E42">
      <formula1>"Y,N"</formula1>
    </dataValidation>
    <dataValidation type="list" allowBlank="1" sqref="B48">
      <formula1>"Standard (7+ weeks),5-7 weeks,3-4 weeks,&lt;3 weeks"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8.0"/>
    <col customWidth="1" min="3" max="3" width="40.0"/>
    <col customWidth="1" min="4" max="6" width="12.0"/>
    <col customWidth="1" min="7" max="26" width="8.71"/>
  </cols>
  <sheetData>
    <row r="1" ht="27.75" customHeight="1">
      <c r="A1" s="1" t="s">
        <v>569</v>
      </c>
      <c r="B1" s="2"/>
      <c r="C1" s="2"/>
      <c r="D1" s="2"/>
      <c r="E1" s="2"/>
      <c r="F1" s="3"/>
    </row>
    <row r="2" ht="45.75" customHeight="1">
      <c r="A2" s="4" t="s">
        <v>570</v>
      </c>
      <c r="B2" s="2"/>
      <c r="C2" s="2"/>
      <c r="D2" s="2"/>
      <c r="E2" s="2"/>
      <c r="F2" s="3"/>
    </row>
    <row r="3" ht="6.0" customHeight="1"/>
    <row r="4" ht="18.0" customHeight="1">
      <c r="A4" s="6" t="s">
        <v>7</v>
      </c>
      <c r="B4" s="2"/>
      <c r="C4" s="2"/>
      <c r="D4" s="2"/>
      <c r="E4" s="2"/>
      <c r="F4" s="3"/>
    </row>
    <row r="5" ht="31.5" customHeight="1">
      <c r="A5" s="14" t="s">
        <v>571</v>
      </c>
      <c r="B5" s="2"/>
      <c r="C5" s="2"/>
      <c r="D5" s="2"/>
      <c r="E5" s="2"/>
      <c r="F5" s="3"/>
    </row>
    <row r="6" ht="18.0" customHeight="1">
      <c r="A6" s="9" t="s">
        <v>14</v>
      </c>
      <c r="B6" s="2"/>
      <c r="C6" s="2"/>
      <c r="D6" s="2"/>
      <c r="E6" s="2"/>
      <c r="F6" s="3"/>
    </row>
    <row r="7" ht="6.0" customHeight="1"/>
    <row r="8" ht="19.5" customHeight="1">
      <c r="A8" s="6" t="s">
        <v>18</v>
      </c>
      <c r="B8" s="2"/>
      <c r="C8" s="2"/>
      <c r="D8" s="2"/>
      <c r="E8" s="2"/>
      <c r="F8" s="3"/>
    </row>
    <row r="9">
      <c r="A9" s="5" t="s">
        <v>19</v>
      </c>
      <c r="B9" s="5" t="s">
        <v>20</v>
      </c>
      <c r="C9" s="11" t="s">
        <v>21</v>
      </c>
      <c r="D9" s="12"/>
      <c r="E9" s="12"/>
      <c r="F9" s="13"/>
    </row>
    <row r="10" ht="30.0" customHeight="1">
      <c r="A10" s="15" t="s">
        <v>24</v>
      </c>
      <c r="B10" s="16">
        <f>'Global Assumptions'!$B$6</f>
        <v>258</v>
      </c>
      <c r="C10" s="17" t="s">
        <v>41</v>
      </c>
    </row>
    <row r="11" ht="30.0" customHeight="1">
      <c r="A11" s="15" t="s">
        <v>572</v>
      </c>
      <c r="B11" s="19">
        <v>0.08</v>
      </c>
      <c r="C11" s="17" t="s">
        <v>573</v>
      </c>
    </row>
    <row r="13" ht="19.5" customHeight="1">
      <c r="A13" s="6" t="s">
        <v>574</v>
      </c>
      <c r="B13" s="2"/>
      <c r="C13" s="2"/>
      <c r="D13" s="2"/>
      <c r="E13" s="2"/>
      <c r="F13" s="3"/>
    </row>
    <row r="14" ht="15.75" customHeight="1">
      <c r="A14" s="24" t="s">
        <v>575</v>
      </c>
      <c r="B14" s="2"/>
      <c r="C14" s="2"/>
      <c r="D14" s="2"/>
      <c r="E14" s="2"/>
      <c r="F14" s="3"/>
    </row>
    <row r="15" ht="33.75" customHeight="1">
      <c r="A15" s="25" t="s">
        <v>576</v>
      </c>
      <c r="B15" s="25" t="s">
        <v>577</v>
      </c>
      <c r="C15" s="25" t="s">
        <v>578</v>
      </c>
      <c r="D15" s="25" t="s">
        <v>115</v>
      </c>
      <c r="E15" s="25" t="s">
        <v>116</v>
      </c>
      <c r="F15" s="25" t="s">
        <v>117</v>
      </c>
    </row>
    <row r="16">
      <c r="A16" s="26" t="s">
        <v>579</v>
      </c>
      <c r="B16" s="27">
        <v>120.0</v>
      </c>
      <c r="C16" s="29">
        <f t="shared" ref="C16:C25" si="1">IF($A16="","",$B16*$B$11)</f>
        <v>9.6</v>
      </c>
      <c r="D16" s="30"/>
      <c r="E16" s="29">
        <f t="shared" ref="E16:E25" si="2">IF($A16="","",$C16)</f>
        <v>9.6</v>
      </c>
      <c r="F16" s="31">
        <f>IF($A16="","",$E16*'Global Assumptions'!$B$6)</f>
        <v>2476.8</v>
      </c>
    </row>
    <row r="17">
      <c r="A17" s="26"/>
      <c r="B17" s="27"/>
      <c r="C17" s="29" t="str">
        <f t="shared" si="1"/>
        <v/>
      </c>
      <c r="D17" s="30"/>
      <c r="E17" s="29" t="str">
        <f t="shared" si="2"/>
        <v/>
      </c>
      <c r="F17" s="31" t="str">
        <f>IF($A17="","",$E17*'Global Assumptions'!$B$6)</f>
        <v/>
      </c>
    </row>
    <row r="18">
      <c r="A18" s="26"/>
      <c r="B18" s="27"/>
      <c r="C18" s="29" t="str">
        <f t="shared" si="1"/>
        <v/>
      </c>
      <c r="D18" s="30"/>
      <c r="E18" s="29" t="str">
        <f t="shared" si="2"/>
        <v/>
      </c>
      <c r="F18" s="31" t="str">
        <f>IF($A18="","",$E18*'Global Assumptions'!$B$6)</f>
        <v/>
      </c>
    </row>
    <row r="19">
      <c r="A19" s="26"/>
      <c r="B19" s="27"/>
      <c r="C19" s="29" t="str">
        <f t="shared" si="1"/>
        <v/>
      </c>
      <c r="D19" s="30"/>
      <c r="E19" s="29" t="str">
        <f t="shared" si="2"/>
        <v/>
      </c>
      <c r="F19" s="31" t="str">
        <f>IF($A19="","",$E19*'Global Assumptions'!$B$6)</f>
        <v/>
      </c>
    </row>
    <row r="20">
      <c r="A20" s="26"/>
      <c r="B20" s="27"/>
      <c r="C20" s="29" t="str">
        <f t="shared" si="1"/>
        <v/>
      </c>
      <c r="D20" s="30"/>
      <c r="E20" s="29" t="str">
        <f t="shared" si="2"/>
        <v/>
      </c>
      <c r="F20" s="31" t="str">
        <f>IF($A20="","",$E20*'Global Assumptions'!$B$6)</f>
        <v/>
      </c>
    </row>
    <row r="21" ht="15.75" customHeight="1">
      <c r="A21" s="26"/>
      <c r="B21" s="27"/>
      <c r="C21" s="29" t="str">
        <f t="shared" si="1"/>
        <v/>
      </c>
      <c r="D21" s="30"/>
      <c r="E21" s="29" t="str">
        <f t="shared" si="2"/>
        <v/>
      </c>
      <c r="F21" s="31" t="str">
        <f>IF($A21="","",$E21*'Global Assumptions'!$B$6)</f>
        <v/>
      </c>
    </row>
    <row r="22" ht="15.75" customHeight="1">
      <c r="A22" s="26"/>
      <c r="B22" s="27"/>
      <c r="C22" s="29" t="str">
        <f t="shared" si="1"/>
        <v/>
      </c>
      <c r="D22" s="30"/>
      <c r="E22" s="29" t="str">
        <f t="shared" si="2"/>
        <v/>
      </c>
      <c r="F22" s="31" t="str">
        <f>IF($A22="","",$E22*'Global Assumptions'!$B$6)</f>
        <v/>
      </c>
    </row>
    <row r="23" ht="15.75" customHeight="1">
      <c r="A23" s="26"/>
      <c r="B23" s="27"/>
      <c r="C23" s="29" t="str">
        <f t="shared" si="1"/>
        <v/>
      </c>
      <c r="D23" s="30"/>
      <c r="E23" s="29" t="str">
        <f t="shared" si="2"/>
        <v/>
      </c>
      <c r="F23" s="31" t="str">
        <f>IF($A23="","",$E23*'Global Assumptions'!$B$6)</f>
        <v/>
      </c>
    </row>
    <row r="24" ht="15.75" customHeight="1">
      <c r="A24" s="26"/>
      <c r="B24" s="27"/>
      <c r="C24" s="29" t="str">
        <f t="shared" si="1"/>
        <v/>
      </c>
      <c r="D24" s="30"/>
      <c r="E24" s="29" t="str">
        <f t="shared" si="2"/>
        <v/>
      </c>
      <c r="F24" s="31" t="str">
        <f>IF($A24="","",$E24*'Global Assumptions'!$B$6)</f>
        <v/>
      </c>
    </row>
    <row r="25" ht="15.75" customHeight="1">
      <c r="A25" s="26"/>
      <c r="B25" s="27"/>
      <c r="C25" s="29" t="str">
        <f t="shared" si="1"/>
        <v/>
      </c>
      <c r="D25" s="30"/>
      <c r="E25" s="29" t="str">
        <f t="shared" si="2"/>
        <v/>
      </c>
      <c r="F25" s="31" t="str">
        <f>IF($A25="","",$E25*'Global Assumptions'!$B$6)</f>
        <v/>
      </c>
    </row>
    <row r="26" ht="15.75" customHeight="1">
      <c r="A26" s="33" t="s">
        <v>159</v>
      </c>
      <c r="B26" s="36"/>
      <c r="C26" s="37">
        <f>SUM(C16:C25)</f>
        <v>9.6</v>
      </c>
      <c r="D26" s="36"/>
      <c r="E26" s="37">
        <f t="shared" ref="E26:F26" si="3">SUM(E16:E25)</f>
        <v>9.6</v>
      </c>
      <c r="F26" s="38">
        <f t="shared" si="3"/>
        <v>2476.8</v>
      </c>
    </row>
    <row r="27" ht="15.75" customHeight="1"/>
    <row r="28" ht="18.0" customHeight="1">
      <c r="A28" s="6" t="s">
        <v>580</v>
      </c>
      <c r="B28" s="2"/>
      <c r="C28" s="2"/>
      <c r="D28" s="2"/>
      <c r="E28" s="2"/>
      <c r="F28" s="3"/>
    </row>
    <row r="29" ht="15.75" customHeight="1">
      <c r="A29" s="39" t="s">
        <v>581</v>
      </c>
      <c r="B29" s="48">
        <f>$E$26</f>
        <v>9.6</v>
      </c>
      <c r="C29" s="49">
        <f>$F$26</f>
        <v>2476.8</v>
      </c>
      <c r="D29" s="21"/>
      <c r="E29" s="21"/>
      <c r="F29" s="21"/>
    </row>
    <row r="30" ht="15.75" customHeight="1"/>
    <row r="31" ht="19.5" customHeight="1">
      <c r="A31" s="43" t="s">
        <v>582</v>
      </c>
      <c r="B31" s="2"/>
      <c r="C31" s="2"/>
      <c r="D31" s="2"/>
      <c r="E31" s="2"/>
      <c r="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0:F10"/>
    <mergeCell ref="C11:F11"/>
    <mergeCell ref="A13:F13"/>
    <mergeCell ref="A14:F14"/>
    <mergeCell ref="A28:F28"/>
    <mergeCell ref="A31:F31"/>
    <mergeCell ref="A1:F1"/>
    <mergeCell ref="A2:F2"/>
    <mergeCell ref="A4:F4"/>
    <mergeCell ref="A5:F5"/>
    <mergeCell ref="A6:F6"/>
    <mergeCell ref="A8:F8"/>
    <mergeCell ref="C9:F9"/>
  </mergeCells>
  <printOptions/>
  <pageMargins bottom="1.0" footer="0.0" header="0.0" left="0.75" right="0.75" top="1.0"/>
  <pageSetup paperSize="9" orientation="portrait"/>
  <drawing r:id="rId1"/>
</worksheet>
</file>